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ortnzgroup-my.sharepoint.com/personal/sam_bremer_hpsnz_org_nz/Documents/Desktop/Scripts/CNZ PTA Tools/"/>
    </mc:Choice>
  </mc:AlternateContent>
  <xr:revisionPtr revIDLastSave="176" documentId="8_{75D39123-4178-485C-BB6E-26429B365975}" xr6:coauthVersionLast="47" xr6:coauthVersionMax="47" xr10:uidLastSave="{12F9E0C1-6538-4DB9-8C60-D6F41BCF18F2}"/>
  <bookViews>
    <workbookView xWindow="-98" yWindow="-98" windowWidth="19396" windowHeight="11475" xr2:uid="{EBA912FB-613D-479E-A75E-53E42B9392CD}"/>
  </bookViews>
  <sheets>
    <sheet name="Draft by rider" sheetId="1" r:id="rId1"/>
    <sheet name="Draft by position" sheetId="2" r:id="rId2"/>
  </sheets>
  <definedNames>
    <definedName name="_xlnm._FilterDatabase" localSheetId="0" hidden="1">'Draft by rider'!$I$2:$P$8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4" i="2" l="1"/>
  <c r="F23" i="2"/>
  <c r="F6" i="1"/>
  <c r="F5" i="1"/>
  <c r="F4" i="1"/>
  <c r="F3" i="1"/>
  <c r="F14" i="1"/>
  <c r="F13" i="1"/>
  <c r="F12" i="1"/>
  <c r="F11" i="1"/>
  <c r="F22" i="1"/>
  <c r="F21" i="1"/>
  <c r="F20" i="1"/>
  <c r="F19" i="1"/>
  <c r="F30" i="1"/>
  <c r="F29" i="1"/>
  <c r="F28" i="1"/>
  <c r="F27" i="1"/>
  <c r="F36" i="1"/>
  <c r="F37" i="1"/>
  <c r="F38" i="1"/>
  <c r="F35" i="1"/>
  <c r="D24" i="2"/>
  <c r="E24" i="2"/>
  <c r="C24" i="2"/>
  <c r="D23" i="2"/>
  <c r="E23" i="2"/>
  <c r="C23" i="2"/>
</calcChain>
</file>

<file path=xl/sharedStrings.xml><?xml version="1.0" encoding="utf-8"?>
<sst xmlns="http://schemas.openxmlformats.org/spreadsheetml/2006/main" count="176" uniqueCount="25">
  <si>
    <t>G Jackson</t>
  </si>
  <si>
    <t>—</t>
  </si>
  <si>
    <t>D Morton</t>
  </si>
  <si>
    <t>K Hornblow</t>
  </si>
  <si>
    <t>M Erwood</t>
  </si>
  <si>
    <t>Rider</t>
  </si>
  <si>
    <t>P2</t>
  </si>
  <si>
    <t>P3</t>
  </si>
  <si>
    <t>P4</t>
  </si>
  <si>
    <t>Rider avg</t>
  </si>
  <si>
    <t>N Kergozou</t>
  </si>
  <si>
    <t>Ride</t>
  </si>
  <si>
    <t>HK Q</t>
  </si>
  <si>
    <t>HK R1</t>
  </si>
  <si>
    <t>HK F</t>
  </si>
  <si>
    <t>T Sexton</t>
  </si>
  <si>
    <t>Nilai Q</t>
  </si>
  <si>
    <t>Nilai R1</t>
  </si>
  <si>
    <t>Average</t>
  </si>
  <si>
    <t>Leader ↓ / Drafter →</t>
  </si>
  <si>
    <t>Hong Kong Q</t>
  </si>
  <si>
    <t>Hong Kong R1</t>
  </si>
  <si>
    <t>Hong Kong F</t>
  </si>
  <si>
    <t>Summary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</si>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</sst>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"/>
  </numFmts>
  <fonts count="3" x14ac:knownFonts="1">
    <font>
      <sz val="11"/>
      <color theme="1"/>
      <name val="Aptos Narrow"/>
      <family val="2"/>
      <scheme val="minor"/>
    </font>
    <font>
      <sz val="11"/>
      <color rgb="FF6B7280"/>
      <name val="Segoe UI"/>
      <family val="2"/>
    </font>
    <font>
      <sz val="11"/>
      <color rgb="FF1F2937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75" fontId="0" fillId="0" borderId="0" xfId="0" applyNumberFormat="1"/>
    <xf numFmtId="0" fontId="0" fillId="0" borderId="1" xfId="0" applyBorder="1"/>
    <xf numFmtId="0" fontId="1" fillId="3" borderId="1" xfId="0" applyFont="1" applyFill="1" applyBorder="1" applyAlignment="1">
      <alignment horizontal="left" vertical="center"/>
    </xf>
    <xf numFmtId="175" fontId="0" fillId="0" borderId="1" xfId="0" applyNumberFormat="1" applyBorder="1"/>
    <xf numFmtId="0" fontId="2" fillId="2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2" xfId="0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3469-AD9D-4C3E-98D5-277925D8BECD}">
  <dimension ref="A1:P38"/>
  <sheetViews>
    <sheetView tabSelected="1" zoomScale="55" zoomScaleNormal="55" workbookViewId="0">
      <selection activeCell="R17" sqref="R17"/>
    </sheetView>
  </sheetViews>
  <sheetFormatPr defaultRowHeight="14.25" x14ac:dyDescent="0.45"/>
  <cols>
    <col min="1" max="1" width="19.46484375" bestFit="1" customWidth="1"/>
    <col min="2" max="2" width="12.46484375" bestFit="1" customWidth="1"/>
    <col min="3" max="4" width="11.6640625" bestFit="1" customWidth="1"/>
    <col min="5" max="5" width="11.59765625" bestFit="1" customWidth="1"/>
    <col min="6" max="6" width="8.33203125" bestFit="1" customWidth="1"/>
    <col min="7" max="7" width="7.33203125" bestFit="1" customWidth="1"/>
    <col min="9" max="9" width="17.796875" bestFit="1" customWidth="1"/>
    <col min="10" max="10" width="12" bestFit="1" customWidth="1"/>
    <col min="11" max="11" width="11.86328125" bestFit="1" customWidth="1"/>
    <col min="12" max="12" width="13.796875" bestFit="1" customWidth="1"/>
    <col min="13" max="13" width="12.33203125" bestFit="1" customWidth="1"/>
    <col min="14" max="14" width="10.86328125" bestFit="1" customWidth="1"/>
    <col min="15" max="15" width="13.86328125" bestFit="1" customWidth="1"/>
    <col min="16" max="16" width="10.53125" bestFit="1" customWidth="1"/>
  </cols>
  <sheetData>
    <row r="1" spans="1:16" x14ac:dyDescent="0.45">
      <c r="A1" s="9" t="s">
        <v>20</v>
      </c>
      <c r="B1" s="9"/>
      <c r="C1" s="9"/>
      <c r="D1" s="9"/>
      <c r="E1" s="9"/>
      <c r="F1" s="9"/>
      <c r="I1" s="11" t="s">
        <v>23</v>
      </c>
      <c r="J1" s="11"/>
      <c r="K1" s="11"/>
      <c r="L1" s="11"/>
      <c r="M1" s="11"/>
      <c r="N1" s="11"/>
      <c r="O1" s="11"/>
      <c r="P1" s="11"/>
    </row>
    <row r="2" spans="1:16" ht="16.5" x14ac:dyDescent="0.45">
      <c r="A2" s="6" t="s">
        <v>19</v>
      </c>
      <c r="B2" s="6" t="s">
        <v>0</v>
      </c>
      <c r="C2" s="6" t="s">
        <v>2</v>
      </c>
      <c r="D2" s="6" t="s">
        <v>3</v>
      </c>
      <c r="E2" s="6" t="s">
        <v>4</v>
      </c>
      <c r="F2" s="6" t="s">
        <v>18</v>
      </c>
      <c r="I2" s="5" t="s">
        <v>19</v>
      </c>
      <c r="J2" s="6" t="s">
        <v>0</v>
      </c>
      <c r="K2" s="6" t="s">
        <v>2</v>
      </c>
      <c r="L2" s="6" t="s">
        <v>3</v>
      </c>
      <c r="M2" s="6" t="s">
        <v>4</v>
      </c>
      <c r="N2" s="6" t="s">
        <v>15</v>
      </c>
      <c r="O2" s="6" t="s">
        <v>10</v>
      </c>
      <c r="P2" s="6" t="s">
        <v>18</v>
      </c>
    </row>
    <row r="3" spans="1:16" ht="16.5" x14ac:dyDescent="0.45">
      <c r="A3" s="6" t="s">
        <v>0</v>
      </c>
      <c r="B3" s="8" t="s">
        <v>1</v>
      </c>
      <c r="C3" s="8" t="s">
        <v>1</v>
      </c>
      <c r="D3" s="8" t="s">
        <v>1</v>
      </c>
      <c r="E3" s="8">
        <v>0.68500000000000005</v>
      </c>
      <c r="F3" s="5">
        <f>AVERAGE(B3:E3)</f>
        <v>0.68500000000000005</v>
      </c>
      <c r="I3" s="6" t="s">
        <v>10</v>
      </c>
      <c r="J3" s="5"/>
      <c r="K3" s="5">
        <v>0.66949999999999998</v>
      </c>
      <c r="L3" s="5"/>
      <c r="M3" s="5">
        <v>0.65</v>
      </c>
      <c r="N3" s="5"/>
      <c r="O3" s="5"/>
      <c r="P3" s="7">
        <v>0.65975000000000006</v>
      </c>
    </row>
    <row r="4" spans="1:16" ht="16.5" x14ac:dyDescent="0.45">
      <c r="A4" s="6" t="s">
        <v>2</v>
      </c>
      <c r="B4" s="8">
        <v>0.67900000000000005</v>
      </c>
      <c r="C4" s="8" t="s">
        <v>1</v>
      </c>
      <c r="D4" s="8" t="s">
        <v>1</v>
      </c>
      <c r="E4" s="8" t="s">
        <v>1</v>
      </c>
      <c r="F4" s="5">
        <f t="shared" ref="F4:F6" si="0">AVERAGE(B4:E4)</f>
        <v>0.67900000000000005</v>
      </c>
      <c r="I4" s="6" t="s">
        <v>15</v>
      </c>
      <c r="J4" s="5"/>
      <c r="K4" s="5">
        <v>0.71399999999999997</v>
      </c>
      <c r="L4" s="5"/>
      <c r="M4" s="5">
        <v>0.66600000000000004</v>
      </c>
      <c r="N4" s="5"/>
      <c r="O4" s="5">
        <v>0.62</v>
      </c>
      <c r="P4" s="7">
        <v>0.66666666666666663</v>
      </c>
    </row>
    <row r="5" spans="1:16" ht="16.5" x14ac:dyDescent="0.45">
      <c r="A5" s="6" t="s">
        <v>3</v>
      </c>
      <c r="B5" s="8" t="s">
        <v>1</v>
      </c>
      <c r="C5" s="8">
        <v>0.68100000000000005</v>
      </c>
      <c r="D5" s="8" t="s">
        <v>1</v>
      </c>
      <c r="E5" s="8" t="s">
        <v>1</v>
      </c>
      <c r="F5" s="5">
        <f t="shared" si="0"/>
        <v>0.68100000000000005</v>
      </c>
      <c r="I5" s="6" t="s">
        <v>2</v>
      </c>
      <c r="J5" s="5">
        <v>0.69650000000000001</v>
      </c>
      <c r="K5" s="5"/>
      <c r="L5" s="5"/>
      <c r="M5" s="5">
        <v>0.6875</v>
      </c>
      <c r="N5" s="5">
        <v>0.64900000000000002</v>
      </c>
      <c r="O5" s="5"/>
      <c r="P5" s="7">
        <v>0.67766666666666664</v>
      </c>
    </row>
    <row r="6" spans="1:16" ht="16.5" x14ac:dyDescent="0.45">
      <c r="A6" s="6" t="s">
        <v>4</v>
      </c>
      <c r="B6" s="8" t="s">
        <v>1</v>
      </c>
      <c r="C6" s="8" t="s">
        <v>1</v>
      </c>
      <c r="D6" s="8">
        <v>0.67100000000000004</v>
      </c>
      <c r="E6" s="8" t="s">
        <v>1</v>
      </c>
      <c r="F6" s="5">
        <f t="shared" si="0"/>
        <v>0.67100000000000004</v>
      </c>
      <c r="I6" s="6" t="s">
        <v>4</v>
      </c>
      <c r="J6" s="5">
        <v>0.70350000000000001</v>
      </c>
      <c r="K6" s="5">
        <v>0.73399999999999999</v>
      </c>
      <c r="L6" s="5">
        <v>0.67100000000000004</v>
      </c>
      <c r="M6" s="5"/>
      <c r="N6" s="5">
        <v>0.67900000000000005</v>
      </c>
      <c r="O6" s="5">
        <v>0.628</v>
      </c>
      <c r="P6" s="7">
        <v>0.68310000000000015</v>
      </c>
    </row>
    <row r="7" spans="1:16" ht="16.5" x14ac:dyDescent="0.45">
      <c r="I7" s="6" t="s">
        <v>0</v>
      </c>
      <c r="J7" s="5"/>
      <c r="K7" s="8">
        <v>0.65800000000000003</v>
      </c>
      <c r="L7" s="5">
        <v>0.72499999999999998</v>
      </c>
      <c r="M7" s="5">
        <v>0.6835</v>
      </c>
      <c r="N7" s="5"/>
      <c r="O7" s="5"/>
      <c r="P7" s="7">
        <v>0.6888333333333333</v>
      </c>
    </row>
    <row r="8" spans="1:16" ht="16.5" x14ac:dyDescent="0.45">
      <c r="I8" s="6" t="s">
        <v>3</v>
      </c>
      <c r="J8" s="5"/>
      <c r="K8" s="5">
        <v>0.68100000000000005</v>
      </c>
      <c r="L8" s="5"/>
      <c r="M8" s="5">
        <v>0.71199999999999997</v>
      </c>
      <c r="N8" s="5"/>
      <c r="O8" s="5">
        <v>0.70299999999999996</v>
      </c>
      <c r="P8" s="7">
        <v>0.69866666666666666</v>
      </c>
    </row>
    <row r="9" spans="1:16" x14ac:dyDescent="0.45">
      <c r="A9" s="9" t="s">
        <v>21</v>
      </c>
      <c r="B9" s="9"/>
      <c r="C9" s="9"/>
      <c r="D9" s="9"/>
      <c r="E9" s="9"/>
      <c r="F9" s="9"/>
      <c r="J9" s="4"/>
      <c r="K9" s="4"/>
      <c r="L9" s="4"/>
      <c r="M9" s="4"/>
      <c r="N9" s="4"/>
      <c r="O9" s="4"/>
    </row>
    <row r="10" spans="1:16" ht="16.5" x14ac:dyDescent="0.45">
      <c r="A10" s="6" t="s">
        <v>19</v>
      </c>
      <c r="B10" s="6" t="s">
        <v>4</v>
      </c>
      <c r="C10" s="6" t="s">
        <v>0</v>
      </c>
      <c r="D10" s="6" t="s">
        <v>10</v>
      </c>
      <c r="E10" s="6" t="s">
        <v>3</v>
      </c>
      <c r="F10" s="6" t="s">
        <v>18</v>
      </c>
    </row>
    <row r="11" spans="1:16" ht="16.5" x14ac:dyDescent="0.45">
      <c r="A11" s="12" t="s">
        <v>4</v>
      </c>
      <c r="B11" s="8" t="s">
        <v>1</v>
      </c>
      <c r="C11" s="8">
        <v>0.70899999999999996</v>
      </c>
      <c r="D11" s="8" t="s">
        <v>1</v>
      </c>
      <c r="E11" s="8" t="s">
        <v>1</v>
      </c>
      <c r="F11" s="5">
        <f>AVERAGE(B11:E11)</f>
        <v>0.70899999999999996</v>
      </c>
    </row>
    <row r="12" spans="1:16" ht="16.5" x14ac:dyDescent="0.45">
      <c r="A12" s="12" t="s">
        <v>0</v>
      </c>
      <c r="B12" s="8" t="s">
        <v>1</v>
      </c>
      <c r="C12" s="8" t="s">
        <v>1</v>
      </c>
      <c r="D12" s="8" t="s">
        <v>1</v>
      </c>
      <c r="E12" s="8">
        <v>0.72499999999999998</v>
      </c>
      <c r="F12" s="5">
        <f t="shared" ref="F12:F14" si="1">AVERAGE(B12:E12)</f>
        <v>0.72499999999999998</v>
      </c>
    </row>
    <row r="13" spans="1:16" ht="16.5" x14ac:dyDescent="0.45">
      <c r="A13" s="12" t="s">
        <v>10</v>
      </c>
      <c r="B13" s="8">
        <v>0.65</v>
      </c>
      <c r="C13" s="8" t="s">
        <v>1</v>
      </c>
      <c r="D13" s="8" t="s">
        <v>1</v>
      </c>
      <c r="E13" s="8" t="s">
        <v>1</v>
      </c>
      <c r="F13" s="5">
        <f t="shared" si="1"/>
        <v>0.65</v>
      </c>
    </row>
    <row r="14" spans="1:16" ht="16.5" x14ac:dyDescent="0.45">
      <c r="A14" s="12" t="s">
        <v>3</v>
      </c>
      <c r="B14" s="8">
        <v>0.71199999999999997</v>
      </c>
      <c r="C14" s="8" t="s">
        <v>1</v>
      </c>
      <c r="D14" s="8">
        <v>0.70299999999999996</v>
      </c>
      <c r="E14" s="8" t="s">
        <v>1</v>
      </c>
      <c r="F14" s="5">
        <f t="shared" si="1"/>
        <v>0.70750000000000002</v>
      </c>
    </row>
    <row r="17" spans="1:6" x14ac:dyDescent="0.45">
      <c r="A17" s="9" t="s">
        <v>22</v>
      </c>
      <c r="B17" s="9"/>
      <c r="C17" s="9"/>
      <c r="D17" s="9"/>
      <c r="E17" s="9"/>
      <c r="F17" s="9"/>
    </row>
    <row r="18" spans="1:6" ht="16.5" x14ac:dyDescent="0.45">
      <c r="A18" s="6" t="s">
        <v>19</v>
      </c>
      <c r="B18" s="6" t="s">
        <v>0</v>
      </c>
      <c r="C18" s="6" t="s">
        <v>10</v>
      </c>
      <c r="D18" s="6" t="s">
        <v>4</v>
      </c>
      <c r="E18" s="6" t="s">
        <v>2</v>
      </c>
      <c r="F18" s="6" t="s">
        <v>18</v>
      </c>
    </row>
    <row r="19" spans="1:6" ht="16.5" x14ac:dyDescent="0.45">
      <c r="A19" s="12" t="s">
        <v>0</v>
      </c>
      <c r="B19" s="8" t="s">
        <v>1</v>
      </c>
      <c r="C19" s="8" t="s">
        <v>1</v>
      </c>
      <c r="D19" s="8">
        <v>0.68200000000000005</v>
      </c>
      <c r="E19" s="8" t="s">
        <v>1</v>
      </c>
      <c r="F19" s="5">
        <f>AVERAGE(B19:E19)</f>
        <v>0.68200000000000005</v>
      </c>
    </row>
    <row r="20" spans="1:6" ht="16.5" x14ac:dyDescent="0.45">
      <c r="A20" s="12" t="s">
        <v>10</v>
      </c>
      <c r="B20" s="8" t="s">
        <v>1</v>
      </c>
      <c r="C20" s="8" t="s">
        <v>1</v>
      </c>
      <c r="D20" s="8" t="s">
        <v>1</v>
      </c>
      <c r="E20" s="8">
        <v>0.69499999999999995</v>
      </c>
      <c r="F20" s="5">
        <f t="shared" ref="F20:F22" si="2">AVERAGE(B20:E20)</f>
        <v>0.69499999999999995</v>
      </c>
    </row>
    <row r="21" spans="1:6" ht="16.5" x14ac:dyDescent="0.45">
      <c r="A21" s="12" t="s">
        <v>4</v>
      </c>
      <c r="B21" s="8" t="s">
        <v>1</v>
      </c>
      <c r="C21" s="8">
        <v>0.628</v>
      </c>
      <c r="D21" s="8" t="s">
        <v>1</v>
      </c>
      <c r="E21" s="8">
        <v>0.73399999999999999</v>
      </c>
      <c r="F21" s="5">
        <f t="shared" si="2"/>
        <v>0.68100000000000005</v>
      </c>
    </row>
    <row r="22" spans="1:6" ht="16.5" x14ac:dyDescent="0.45">
      <c r="A22" s="12" t="s">
        <v>2</v>
      </c>
      <c r="B22" s="8">
        <v>0.71399999999999997</v>
      </c>
      <c r="C22" s="8" t="s">
        <v>1</v>
      </c>
      <c r="D22" s="8" t="s">
        <v>1</v>
      </c>
      <c r="E22" s="8" t="s">
        <v>1</v>
      </c>
      <c r="F22" s="5">
        <f t="shared" si="2"/>
        <v>0.71399999999999997</v>
      </c>
    </row>
    <row r="25" spans="1:6" x14ac:dyDescent="0.45">
      <c r="A25" s="10" t="s">
        <v>16</v>
      </c>
      <c r="B25" s="10"/>
      <c r="C25" s="10"/>
      <c r="D25" s="10"/>
      <c r="E25" s="10"/>
      <c r="F25" s="10"/>
    </row>
    <row r="26" spans="1:6" ht="16.5" x14ac:dyDescent="0.45">
      <c r="A26" s="6" t="s">
        <v>19</v>
      </c>
      <c r="B26" s="6" t="s">
        <v>2</v>
      </c>
      <c r="C26" s="6" t="s">
        <v>0</v>
      </c>
      <c r="D26" s="6" t="s">
        <v>4</v>
      </c>
      <c r="E26" s="6" t="s">
        <v>15</v>
      </c>
      <c r="F26" s="6" t="s">
        <v>18</v>
      </c>
    </row>
    <row r="27" spans="1:6" ht="16.5" x14ac:dyDescent="0.45">
      <c r="A27" s="12" t="s">
        <v>2</v>
      </c>
      <c r="B27" s="8" t="s">
        <v>1</v>
      </c>
      <c r="C27" s="8" t="s">
        <v>1</v>
      </c>
      <c r="D27" s="8">
        <v>0.70199999999999996</v>
      </c>
      <c r="E27" s="8">
        <v>0.64900000000000002</v>
      </c>
      <c r="F27" s="5">
        <f>AVERAGE(B27:E27)</f>
        <v>0.67549999999999999</v>
      </c>
    </row>
    <row r="28" spans="1:6" ht="16.5" x14ac:dyDescent="0.45">
      <c r="A28" s="12" t="s">
        <v>0</v>
      </c>
      <c r="B28" s="8">
        <v>0.65800000000000003</v>
      </c>
      <c r="C28" s="8" t="s">
        <v>1</v>
      </c>
      <c r="D28" s="8" t="s">
        <v>1</v>
      </c>
      <c r="E28" s="8" t="s">
        <v>1</v>
      </c>
      <c r="F28" s="5">
        <f t="shared" ref="F28:F30" si="3">AVERAGE(B28:E28)</f>
        <v>0.65800000000000003</v>
      </c>
    </row>
    <row r="29" spans="1:6" ht="16.5" x14ac:dyDescent="0.45">
      <c r="A29" s="12" t="s">
        <v>4</v>
      </c>
      <c r="B29" s="8" t="s">
        <v>1</v>
      </c>
      <c r="C29" s="8">
        <v>0.69799999999999995</v>
      </c>
      <c r="D29" s="8" t="s">
        <v>1</v>
      </c>
      <c r="E29" s="8" t="s">
        <v>1</v>
      </c>
      <c r="F29" s="5">
        <f t="shared" si="3"/>
        <v>0.69799999999999995</v>
      </c>
    </row>
    <row r="30" spans="1:6" ht="16.5" x14ac:dyDescent="0.45">
      <c r="A30" s="12" t="s">
        <v>15</v>
      </c>
      <c r="B30" s="8" t="s">
        <v>1</v>
      </c>
      <c r="C30" s="8" t="s">
        <v>1</v>
      </c>
      <c r="D30" s="8">
        <v>0.66600000000000004</v>
      </c>
      <c r="E30" s="8" t="s">
        <v>1</v>
      </c>
      <c r="F30" s="5">
        <f t="shared" si="3"/>
        <v>0.66600000000000004</v>
      </c>
    </row>
    <row r="33" spans="1:6" x14ac:dyDescent="0.45">
      <c r="A33" s="10" t="s">
        <v>17</v>
      </c>
      <c r="B33" s="10"/>
      <c r="C33" s="10"/>
      <c r="D33" s="10"/>
      <c r="E33" s="10"/>
      <c r="F33" s="10"/>
    </row>
    <row r="34" spans="1:6" ht="16.5" x14ac:dyDescent="0.45">
      <c r="A34" s="6" t="s">
        <v>19</v>
      </c>
      <c r="B34" s="12" t="s">
        <v>15</v>
      </c>
      <c r="C34" s="6" t="s">
        <v>2</v>
      </c>
      <c r="D34" s="6" t="s">
        <v>10</v>
      </c>
      <c r="E34" s="6" t="s">
        <v>4</v>
      </c>
      <c r="F34" s="6" t="s">
        <v>18</v>
      </c>
    </row>
    <row r="35" spans="1:6" ht="16.5" x14ac:dyDescent="0.45">
      <c r="A35" s="12" t="s">
        <v>15</v>
      </c>
      <c r="B35" s="8" t="s">
        <v>1</v>
      </c>
      <c r="C35" s="8">
        <v>0.71399999999999997</v>
      </c>
      <c r="D35" s="8">
        <v>0.62</v>
      </c>
      <c r="E35" s="8" t="s">
        <v>1</v>
      </c>
      <c r="F35" s="5">
        <f>AVERAGE(B35:E35)</f>
        <v>0.66700000000000004</v>
      </c>
    </row>
    <row r="36" spans="1:6" ht="16.5" x14ac:dyDescent="0.45">
      <c r="A36" s="12" t="s">
        <v>2</v>
      </c>
      <c r="B36" s="8" t="s">
        <v>1</v>
      </c>
      <c r="C36" s="8" t="s">
        <v>1</v>
      </c>
      <c r="D36" s="8" t="s">
        <v>1</v>
      </c>
      <c r="E36" s="8">
        <v>0.67300000000000004</v>
      </c>
      <c r="F36" s="5">
        <f t="shared" ref="F36:F38" si="4">AVERAGE(B36:E36)</f>
        <v>0.67300000000000004</v>
      </c>
    </row>
    <row r="37" spans="1:6" ht="16.5" x14ac:dyDescent="0.45">
      <c r="A37" s="12" t="s">
        <v>10</v>
      </c>
      <c r="B37" s="8" t="s">
        <v>1</v>
      </c>
      <c r="C37" s="8">
        <v>0.64400000000000002</v>
      </c>
      <c r="D37" s="8" t="s">
        <v>1</v>
      </c>
      <c r="E37" s="8" t="s">
        <v>1</v>
      </c>
      <c r="F37" s="5">
        <f t="shared" si="4"/>
        <v>0.64400000000000002</v>
      </c>
    </row>
    <row r="38" spans="1:6" ht="16.5" x14ac:dyDescent="0.45">
      <c r="A38" s="12" t="s">
        <v>4</v>
      </c>
      <c r="B38" s="8">
        <v>0.67900000000000005</v>
      </c>
      <c r="C38" s="8" t="s">
        <v>1</v>
      </c>
      <c r="D38" s="8" t="s">
        <v>1</v>
      </c>
      <c r="E38" s="8" t="s">
        <v>1</v>
      </c>
      <c r="F38" s="5">
        <f t="shared" si="4"/>
        <v>0.67900000000000005</v>
      </c>
    </row>
  </sheetData>
  <autoFilter ref="I2:P8" xr:uid="{A4A13469-AD9D-4C3E-98D5-277925D8BECD}">
    <sortState xmlns:xlrd2="http://schemas.microsoft.com/office/spreadsheetml/2017/richdata2" ref="I3:P8">
      <sortCondition ref="P2:P8"/>
    </sortState>
  </autoFilter>
  <mergeCells count="6">
    <mergeCell ref="I1:P1"/>
    <mergeCell ref="A33:F33"/>
    <mergeCell ref="A25:F25"/>
    <mergeCell ref="A17:F17"/>
    <mergeCell ref="A9:F9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ECC7-6CAF-48CD-87CC-33A24897871A}">
  <dimension ref="A1:F1048574"/>
  <sheetViews>
    <sheetView topLeftCell="A18" workbookViewId="0">
      <selection activeCell="I10" sqref="I10"/>
    </sheetView>
  </sheetViews>
  <sheetFormatPr defaultRowHeight="14.25" x14ac:dyDescent="0.45"/>
  <cols>
    <col min="1" max="1" width="11.6640625" bestFit="1" customWidth="1"/>
    <col min="3" max="5" width="9.33203125" bestFit="1" customWidth="1"/>
    <col min="6" max="6" width="10.3984375" bestFit="1" customWidth="1"/>
  </cols>
  <sheetData>
    <row r="1" spans="1:6" ht="16.5" x14ac:dyDescent="0.45">
      <c r="A1" s="1" t="s">
        <v>5</v>
      </c>
      <c r="B1" s="1" t="s">
        <v>11</v>
      </c>
      <c r="C1" s="3" t="s">
        <v>6</v>
      </c>
      <c r="D1" s="3" t="s">
        <v>7</v>
      </c>
      <c r="E1" s="3" t="s">
        <v>8</v>
      </c>
      <c r="F1" s="3" t="s">
        <v>9</v>
      </c>
    </row>
    <row r="2" spans="1:6" ht="16.5" x14ac:dyDescent="0.45">
      <c r="A2" s="1" t="s">
        <v>0</v>
      </c>
      <c r="B2" s="1" t="s">
        <v>12</v>
      </c>
      <c r="C2" s="2">
        <v>0.68799999999999994</v>
      </c>
      <c r="D2" s="2">
        <v>0.58599999999999997</v>
      </c>
      <c r="E2" s="2">
        <v>0.71499999999999997</v>
      </c>
      <c r="F2" s="2">
        <v>0.67900000000000005</v>
      </c>
    </row>
    <row r="3" spans="1:6" ht="16.5" x14ac:dyDescent="0.45">
      <c r="A3" s="1" t="s">
        <v>2</v>
      </c>
      <c r="B3" s="1" t="s">
        <v>12</v>
      </c>
      <c r="C3" s="2">
        <v>0.68600000000000005</v>
      </c>
      <c r="D3" s="2">
        <v>0.71599999999999997</v>
      </c>
      <c r="E3" s="2">
        <v>0.64300000000000002</v>
      </c>
      <c r="F3" s="2">
        <v>0.68100000000000005</v>
      </c>
    </row>
    <row r="4" spans="1:6" ht="16.5" x14ac:dyDescent="0.45">
      <c r="A4" s="1" t="s">
        <v>3</v>
      </c>
      <c r="B4" s="1" t="s">
        <v>12</v>
      </c>
      <c r="C4" s="2">
        <v>0.77400000000000002</v>
      </c>
      <c r="D4" s="2">
        <v>0.61799999999999999</v>
      </c>
      <c r="E4" s="2">
        <v>0.62</v>
      </c>
      <c r="F4" s="2">
        <v>0.67100000000000004</v>
      </c>
    </row>
    <row r="5" spans="1:6" ht="16.5" x14ac:dyDescent="0.45">
      <c r="A5" s="1" t="s">
        <v>4</v>
      </c>
      <c r="B5" s="1" t="s">
        <v>12</v>
      </c>
      <c r="C5" s="2">
        <v>0.72599999999999998</v>
      </c>
      <c r="D5" s="2">
        <v>0.61599999999999999</v>
      </c>
      <c r="E5" s="2">
        <v>0.73799999999999999</v>
      </c>
      <c r="F5" s="2">
        <v>0.68500000000000005</v>
      </c>
    </row>
    <row r="6" spans="1:6" ht="16.5" x14ac:dyDescent="0.45">
      <c r="A6" s="1" t="s">
        <v>4</v>
      </c>
      <c r="B6" s="1" t="s">
        <v>13</v>
      </c>
      <c r="C6" s="2">
        <v>0.73099999999999998</v>
      </c>
      <c r="D6" s="2">
        <v>0.67900000000000005</v>
      </c>
      <c r="E6" s="2">
        <v>0.63600000000000001</v>
      </c>
      <c r="F6" s="2">
        <v>0.68100000000000005</v>
      </c>
    </row>
    <row r="7" spans="1:6" ht="16.5" x14ac:dyDescent="0.45">
      <c r="A7" s="1" t="s">
        <v>0</v>
      </c>
      <c r="B7" s="1" t="s">
        <v>13</v>
      </c>
      <c r="C7" s="2">
        <v>0.754</v>
      </c>
      <c r="D7" s="2">
        <v>0.65900000000000003</v>
      </c>
      <c r="E7" s="2">
        <v>0.66800000000000004</v>
      </c>
      <c r="F7" s="2">
        <v>0.70899999999999996</v>
      </c>
    </row>
    <row r="8" spans="1:6" ht="16.5" x14ac:dyDescent="0.45">
      <c r="A8" s="1" t="s">
        <v>10</v>
      </c>
      <c r="B8" s="1" t="s">
        <v>13</v>
      </c>
      <c r="C8" s="2">
        <v>0.752</v>
      </c>
      <c r="D8" s="2">
        <v>0.64600000000000002</v>
      </c>
      <c r="E8" s="2">
        <v>0.71199999999999997</v>
      </c>
      <c r="F8" s="2">
        <v>0.70299999999999996</v>
      </c>
    </row>
    <row r="9" spans="1:6" ht="16.5" x14ac:dyDescent="0.45">
      <c r="A9" s="1" t="s">
        <v>3</v>
      </c>
      <c r="B9" s="1" t="s">
        <v>13</v>
      </c>
      <c r="C9" s="2">
        <v>0.76700000000000002</v>
      </c>
      <c r="D9" s="2">
        <v>0.68300000000000005</v>
      </c>
      <c r="E9" s="2" t="s">
        <v>1</v>
      </c>
      <c r="F9" s="2">
        <v>0.72499999999999998</v>
      </c>
    </row>
    <row r="10" spans="1:6" ht="16.5" x14ac:dyDescent="0.45">
      <c r="A10" s="1" t="s">
        <v>0</v>
      </c>
      <c r="B10" s="1" t="s">
        <v>14</v>
      </c>
      <c r="C10" s="2">
        <v>0.70399999999999996</v>
      </c>
      <c r="D10" s="2">
        <v>0.73399999999999999</v>
      </c>
      <c r="E10" s="2">
        <v>0.69199999999999995</v>
      </c>
      <c r="F10" s="2">
        <v>0.71399999999999997</v>
      </c>
    </row>
    <row r="11" spans="1:6" ht="16.5" x14ac:dyDescent="0.45">
      <c r="A11" s="1" t="s">
        <v>10</v>
      </c>
      <c r="B11" s="1" t="s">
        <v>14</v>
      </c>
      <c r="C11" s="2">
        <v>0.68700000000000006</v>
      </c>
      <c r="D11" s="2">
        <v>0.61399999999999999</v>
      </c>
      <c r="E11" s="2">
        <v>0.58199999999999996</v>
      </c>
      <c r="F11" s="2">
        <v>0.628</v>
      </c>
    </row>
    <row r="12" spans="1:6" ht="16.5" x14ac:dyDescent="0.45">
      <c r="A12" s="1" t="s">
        <v>4</v>
      </c>
      <c r="B12" s="1" t="s">
        <v>14</v>
      </c>
      <c r="C12" s="2">
        <v>0.71899999999999997</v>
      </c>
      <c r="D12" s="2">
        <v>0.60199999999999998</v>
      </c>
      <c r="E12" s="2">
        <v>0.76700000000000002</v>
      </c>
      <c r="F12" s="2">
        <v>0.68200000000000005</v>
      </c>
    </row>
    <row r="13" spans="1:6" ht="16.5" x14ac:dyDescent="0.45">
      <c r="A13" s="1" t="s">
        <v>2</v>
      </c>
      <c r="B13" s="1" t="s">
        <v>14</v>
      </c>
      <c r="C13" s="2">
        <v>0.79100000000000004</v>
      </c>
      <c r="D13" s="2">
        <v>0.65400000000000003</v>
      </c>
      <c r="E13" s="2">
        <v>0.66200000000000003</v>
      </c>
      <c r="F13" s="2">
        <v>0.71099999999999997</v>
      </c>
    </row>
    <row r="14" spans="1:6" ht="16.5" x14ac:dyDescent="0.45">
      <c r="A14" s="1" t="s">
        <v>2</v>
      </c>
      <c r="B14" s="1" t="s">
        <v>16</v>
      </c>
      <c r="C14" s="2">
        <v>0.69099999999999995</v>
      </c>
      <c r="D14" s="2">
        <v>0.62</v>
      </c>
      <c r="E14" s="2">
        <v>0.66700000000000004</v>
      </c>
      <c r="F14" s="2">
        <v>0.65800000000000003</v>
      </c>
    </row>
    <row r="15" spans="1:6" ht="16.5" x14ac:dyDescent="0.45">
      <c r="A15" s="1" t="s">
        <v>0</v>
      </c>
      <c r="B15" s="1" t="s">
        <v>16</v>
      </c>
      <c r="C15" s="2">
        <v>0.72699999999999998</v>
      </c>
      <c r="D15" s="2">
        <v>0.69799999999999995</v>
      </c>
      <c r="E15" s="2">
        <v>0.63900000000000001</v>
      </c>
      <c r="F15" s="2">
        <v>0.69799999999999995</v>
      </c>
    </row>
    <row r="16" spans="1:6" ht="16.5" x14ac:dyDescent="0.45">
      <c r="A16" s="1" t="s">
        <v>4</v>
      </c>
      <c r="B16" s="1" t="s">
        <v>16</v>
      </c>
      <c r="C16" s="2">
        <v>0.748</v>
      </c>
      <c r="D16" s="2">
        <v>0.63500000000000001</v>
      </c>
      <c r="E16" s="2">
        <v>0.63500000000000001</v>
      </c>
      <c r="F16" s="2">
        <v>0.68</v>
      </c>
    </row>
    <row r="17" spans="1:6" ht="16.5" x14ac:dyDescent="0.45">
      <c r="A17" s="1" t="s">
        <v>15</v>
      </c>
      <c r="B17" s="1" t="s">
        <v>16</v>
      </c>
      <c r="C17" s="2">
        <v>0.68300000000000005</v>
      </c>
      <c r="D17" s="2">
        <v>0.58899999999999997</v>
      </c>
      <c r="E17" s="2">
        <v>0.67300000000000004</v>
      </c>
      <c r="F17" s="2">
        <v>0.64900000000000002</v>
      </c>
    </row>
    <row r="18" spans="1:6" ht="16.5" x14ac:dyDescent="0.45">
      <c r="A18" s="1" t="s">
        <v>15</v>
      </c>
      <c r="B18" s="1" t="s">
        <v>17</v>
      </c>
      <c r="C18" s="2">
        <v>0.752</v>
      </c>
      <c r="D18" s="2">
        <v>0.63</v>
      </c>
      <c r="E18" s="2" t="s">
        <v>1</v>
      </c>
      <c r="F18" s="2">
        <v>0.67900000000000005</v>
      </c>
    </row>
    <row r="19" spans="1:6" ht="16.5" x14ac:dyDescent="0.45">
      <c r="A19" s="1" t="s">
        <v>2</v>
      </c>
      <c r="B19" s="1" t="s">
        <v>17</v>
      </c>
      <c r="C19" s="2">
        <v>0.65300000000000002</v>
      </c>
      <c r="D19" s="2">
        <v>0.70899999999999996</v>
      </c>
      <c r="E19" s="2">
        <v>0.64700000000000002</v>
      </c>
      <c r="F19" s="2">
        <v>0.67900000000000005</v>
      </c>
    </row>
    <row r="20" spans="1:6" ht="16.5" x14ac:dyDescent="0.45">
      <c r="A20" s="1" t="s">
        <v>10</v>
      </c>
      <c r="B20" s="1" t="s">
        <v>17</v>
      </c>
      <c r="C20" s="2">
        <v>0.65200000000000002</v>
      </c>
      <c r="D20" s="2">
        <v>0.60599999999999998</v>
      </c>
      <c r="E20" s="2">
        <v>0.60199999999999998</v>
      </c>
      <c r="F20" s="2">
        <v>0.62</v>
      </c>
    </row>
    <row r="21" spans="1:6" ht="16.5" x14ac:dyDescent="0.45">
      <c r="A21" s="1" t="s">
        <v>4</v>
      </c>
      <c r="B21" s="1" t="s">
        <v>17</v>
      </c>
      <c r="C21" s="2">
        <v>0.66900000000000004</v>
      </c>
      <c r="D21" s="2">
        <v>0.66500000000000004</v>
      </c>
      <c r="E21" s="2">
        <v>0.69499999999999995</v>
      </c>
      <c r="F21" s="2">
        <v>0.67300000000000004</v>
      </c>
    </row>
    <row r="23" spans="1:6" ht="16.5" x14ac:dyDescent="0.45">
      <c r="A23" s="1" t="s">
        <v>18</v>
      </c>
      <c r="C23" s="4">
        <f>AVERAGE(C2:C21)</f>
        <v>0.7177</v>
      </c>
      <c r="D23" s="4">
        <f t="shared" ref="D23:F23" si="0">AVERAGE(D2:D21)</f>
        <v>0.64795000000000003</v>
      </c>
      <c r="E23" s="4">
        <f t="shared" si="0"/>
        <v>0.66627777777777775</v>
      </c>
      <c r="F23" s="4">
        <f t="shared" si="0"/>
        <v>0.68025000000000002</v>
      </c>
    </row>
    <row r="24" spans="1:6" ht="16.5" x14ac:dyDescent="0.45">
      <c r="A24" s="1" t="s">
        <v>24</v>
      </c>
      <c r="C24" s="4">
        <f>_xlfn.STDEV.S(C2:C21)</f>
        <v>4.0849015964441023E-2</v>
      </c>
      <c r="D24" s="4">
        <f t="shared" ref="D24:F24" si="1">_xlfn.STDEV.S(D2:D21)</f>
        <v>4.3793144140198602E-2</v>
      </c>
      <c r="E24" s="4">
        <f t="shared" si="1"/>
        <v>4.7425242168820207E-2</v>
      </c>
      <c r="F24" s="4">
        <f t="shared" si="1"/>
        <v>2.6899178230453125E-2</v>
      </c>
    </row>
    <row r="1048574" spans="2:2" ht="16.5" x14ac:dyDescent="0.45">
      <c r="B1048574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d5ca952-e4a5-43e6-b17c-c01d313ad135}" enabled="0" method="" siteId="{9d5ca952-e4a5-43e6-b17c-c01d313ad13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Draft by rider</vt:lpstr>
      <vt:lpstr>Draft by 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2026-06-11T03:58:59Z</dcterms:created>
  <dcterms:modified xsi:type="dcterms:W3CDTF">2026-06-11T23:10:57Z</dcterms:modified>
</cp:coreProperties>
</file>