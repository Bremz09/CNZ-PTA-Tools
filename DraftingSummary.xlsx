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portnzgroup-my.sharepoint.com/personal/sam_bremer_hpsnz_org_nz/Documents/Desktop/Scripts/CNZ PTA Tools/"/>
    </mc:Choice>
  </mc:AlternateContent>
  <xr:revisionPtr revIDLastSave="277" documentId="8_{75D39123-4178-485C-BB6E-26429B365975}" xr6:coauthVersionLast="47" xr6:coauthVersionMax="47" xr10:uidLastSave="{EE86F495-78CF-4A4F-BECE-F8BE07F1DD75}"/>
  <bookViews>
    <workbookView xWindow="-19298" yWindow="-1837" windowWidth="19396" windowHeight="11475" activeTab="2" xr2:uid="{EBA912FB-613D-479E-A75E-53E42B9392CD}"/>
  </bookViews>
  <sheets>
    <sheet name="Draft by rider" sheetId="1" r:id="rId1"/>
    <sheet name="Draft by position" sheetId="2" r:id="rId2"/>
    <sheet name="Sheet1" sheetId="3" r:id="rId3"/>
  </sheets>
  <definedNames>
    <definedName name="_xlnm._FilterDatabase" localSheetId="0" hidden="1">'Draft by rider'!$I$2:$P$8</definedName>
    <definedName name="_xlnm._FilterDatabase" localSheetId="2" hidden="1">Sheet1!$A$1:$I$75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4" i="2" l="1"/>
  <c r="F23" i="2"/>
  <c r="F6" i="1"/>
  <c r="F5" i="1"/>
  <c r="F4" i="1"/>
  <c r="F3" i="1"/>
  <c r="F14" i="1"/>
  <c r="F13" i="1"/>
  <c r="F12" i="1"/>
  <c r="F11" i="1"/>
  <c r="F22" i="1"/>
  <c r="F21" i="1"/>
  <c r="F20" i="1"/>
  <c r="F19" i="1"/>
  <c r="F30" i="1"/>
  <c r="F29" i="1"/>
  <c r="F28" i="1"/>
  <c r="F27" i="1"/>
  <c r="F36" i="1"/>
  <c r="F37" i="1"/>
  <c r="F38" i="1"/>
  <c r="F35" i="1"/>
  <c r="D24" i="2"/>
  <c r="E24" i="2"/>
  <c r="C24" i="2"/>
  <c r="D23" i="2"/>
  <c r="E23" i="2"/>
  <c r="C23" i="2"/>
</calcChain>
</file>

<file path=xl/sharedStrings.xml><?xml version="1.0" encoding="utf-8"?>
<sst xmlns="http://schemas.openxmlformats.org/spreadsheetml/2006/main" count="818" uniqueCount="41">
  <si>
    <t>G Jackson</t>
  </si>
  <si>
    <t>—</t>
  </si>
  <si>
    <t>D Morton</t>
  </si>
  <si>
    <t>K Hornblow</t>
  </si>
  <si>
    <t>M Erwood</t>
  </si>
  <si>
    <t>Rider</t>
  </si>
  <si>
    <t>P2</t>
  </si>
  <si>
    <t>P3</t>
  </si>
  <si>
    <t>P4</t>
  </si>
  <si>
    <t>Rider avg</t>
  </si>
  <si>
    <t>N Kergozou</t>
  </si>
  <si>
    <t>Ride</t>
  </si>
  <si>
    <t>HK Q</t>
  </si>
  <si>
    <t>HK R1</t>
  </si>
  <si>
    <t>HK F</t>
  </si>
  <si>
    <t>T Sexton</t>
  </si>
  <si>
    <t>Nilai Q</t>
  </si>
  <si>
    <t>Nilai R1</t>
  </si>
  <si>
    <t>Average</t>
  </si>
  <si>
    <t>Leader ↓ / Drafter →</t>
  </si>
  <si>
    <t>Hong Kong Q</t>
  </si>
  <si>
    <t>Hong Kong R1</t>
  </si>
  <si>
    <t>Hong Kong F</t>
  </si>
  <si>
    <t>Summary</t>
  </si>
  <si>
    <t>STD DEV</t>
  </si>
  <si>
    <t>Position</t>
  </si>
  <si>
    <t>Leader</t>
  </si>
  <si>
    <t>Draft</t>
  </si>
  <si>
    <t>CdA</t>
  </si>
  <si>
    <t>Section</t>
  </si>
  <si>
    <t>Power (W)</t>
  </si>
  <si>
    <t>Calc Lead Power (W)</t>
  </si>
  <si>
    <t>Section 1</t>
  </si>
  <si>
    <t>P1</t>
  </si>
  <si>
    <t>Section 2</t>
  </si>
  <si>
    <t>Section 3</t>
  </si>
  <si>
    <t>Section 4</t>
  </si>
  <si>
    <t>Section 5</t>
  </si>
  <si>
    <t>Section 6</t>
  </si>
  <si>
    <t>Section 7</t>
  </si>
  <si>
    <t>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</si>
</sst>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11"/>
      <color rgb="FF6B7280"/>
      <name val="Segoe UI"/>
      <family val="2"/>
    </font>
    <font>
      <sz val="11"/>
      <color rgb="FF1F2937"/>
      <name val="Segoe UI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A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1" xfId="0" applyBorder="1"/>
    <xf numFmtId="0" fontId="1" fillId="3" borderId="1" xfId="0" applyFont="1" applyFill="1" applyBorder="1" applyAlignment="1">
      <alignment horizontal="left" vertical="center"/>
    </xf>
    <xf numFmtId="164" fontId="0" fillId="0" borderId="1" xfId="0" applyNumberFormat="1" applyBorder="1"/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7" borderId="0" xfId="0" applyFill="1"/>
    <xf numFmtId="0" fontId="0" fillId="6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13469-AD9D-4C3E-98D5-277925D8BECD}">
  <dimension ref="A1:P38"/>
  <sheetViews>
    <sheetView zoomScale="85" zoomScaleNormal="85" workbookViewId="0">
      <selection activeCell="K33" sqref="K33"/>
    </sheetView>
  </sheetViews>
  <sheetFormatPr defaultRowHeight="14.25" x14ac:dyDescent="0.45"/>
  <cols>
    <col min="1" max="1" width="19.46484375" bestFit="1" customWidth="1"/>
    <col min="2" max="2" width="12.46484375" bestFit="1" customWidth="1"/>
    <col min="3" max="4" width="11.6640625" bestFit="1" customWidth="1"/>
    <col min="5" max="5" width="11.59765625" bestFit="1" customWidth="1"/>
    <col min="6" max="6" width="8.33203125" bestFit="1" customWidth="1"/>
    <col min="7" max="7" width="7.33203125" bestFit="1" customWidth="1"/>
    <col min="9" max="9" width="17.796875" bestFit="1" customWidth="1"/>
    <col min="10" max="10" width="12" bestFit="1" customWidth="1"/>
    <col min="11" max="11" width="11.86328125" bestFit="1" customWidth="1"/>
    <col min="12" max="12" width="13.796875" bestFit="1" customWidth="1"/>
    <col min="13" max="13" width="12.33203125" bestFit="1" customWidth="1"/>
    <col min="14" max="14" width="10.86328125" bestFit="1" customWidth="1"/>
    <col min="15" max="15" width="13.86328125" bestFit="1" customWidth="1"/>
    <col min="16" max="16" width="10.53125" bestFit="1" customWidth="1"/>
  </cols>
  <sheetData>
    <row r="1" spans="1:16" x14ac:dyDescent="0.45">
      <c r="A1" s="13" t="s">
        <v>20</v>
      </c>
      <c r="B1" s="13"/>
      <c r="C1" s="13"/>
      <c r="D1" s="13"/>
      <c r="E1" s="13"/>
      <c r="F1" s="13"/>
      <c r="I1" s="11" t="s">
        <v>23</v>
      </c>
      <c r="J1" s="11"/>
      <c r="K1" s="11"/>
      <c r="L1" s="11"/>
      <c r="M1" s="11"/>
      <c r="N1" s="11"/>
      <c r="O1" s="11"/>
      <c r="P1" s="11"/>
    </row>
    <row r="2" spans="1:16" ht="16.5" x14ac:dyDescent="0.45">
      <c r="A2" s="6" t="s">
        <v>19</v>
      </c>
      <c r="B2" s="6" t="s">
        <v>0</v>
      </c>
      <c r="C2" s="6" t="s">
        <v>2</v>
      </c>
      <c r="D2" s="6" t="s">
        <v>3</v>
      </c>
      <c r="E2" s="6" t="s">
        <v>4</v>
      </c>
      <c r="F2" s="6" t="s">
        <v>18</v>
      </c>
      <c r="I2" s="5" t="s">
        <v>19</v>
      </c>
      <c r="J2" s="6" t="s">
        <v>0</v>
      </c>
      <c r="K2" s="6" t="s">
        <v>2</v>
      </c>
      <c r="L2" s="6" t="s">
        <v>3</v>
      </c>
      <c r="M2" s="6" t="s">
        <v>4</v>
      </c>
      <c r="N2" s="6" t="s">
        <v>15</v>
      </c>
      <c r="O2" s="6" t="s">
        <v>10</v>
      </c>
      <c r="P2" s="6" t="s">
        <v>18</v>
      </c>
    </row>
    <row r="3" spans="1:16" ht="16.5" x14ac:dyDescent="0.45">
      <c r="A3" s="6" t="s">
        <v>0</v>
      </c>
      <c r="B3" s="8" t="s">
        <v>1</v>
      </c>
      <c r="C3" s="8" t="s">
        <v>1</v>
      </c>
      <c r="D3" s="8" t="s">
        <v>1</v>
      </c>
      <c r="E3" s="8">
        <v>0.68500000000000005</v>
      </c>
      <c r="F3" s="5">
        <f>AVERAGE(B3:E3)</f>
        <v>0.68500000000000005</v>
      </c>
      <c r="I3" s="6" t="s">
        <v>10</v>
      </c>
      <c r="J3" s="5"/>
      <c r="K3" s="5">
        <v>0.66949999999999998</v>
      </c>
      <c r="L3" s="5"/>
      <c r="M3" s="5">
        <v>0.65</v>
      </c>
      <c r="N3" s="5"/>
      <c r="O3" s="5"/>
      <c r="P3" s="7">
        <v>0.65975000000000006</v>
      </c>
    </row>
    <row r="4" spans="1:16" ht="16.5" x14ac:dyDescent="0.45">
      <c r="A4" s="6" t="s">
        <v>2</v>
      </c>
      <c r="B4" s="8">
        <v>0.67900000000000005</v>
      </c>
      <c r="C4" s="8" t="s">
        <v>1</v>
      </c>
      <c r="D4" s="8" t="s">
        <v>1</v>
      </c>
      <c r="E4" s="8" t="s">
        <v>1</v>
      </c>
      <c r="F4" s="5">
        <f t="shared" ref="F4:F6" si="0">AVERAGE(B4:E4)</f>
        <v>0.67900000000000005</v>
      </c>
      <c r="I4" s="6" t="s">
        <v>15</v>
      </c>
      <c r="J4" s="5"/>
      <c r="K4" s="5">
        <v>0.71399999999999997</v>
      </c>
      <c r="L4" s="5"/>
      <c r="M4" s="5">
        <v>0.66600000000000004</v>
      </c>
      <c r="N4" s="5"/>
      <c r="O4" s="5">
        <v>0.62</v>
      </c>
      <c r="P4" s="7">
        <v>0.66666666666666663</v>
      </c>
    </row>
    <row r="5" spans="1:16" ht="16.5" x14ac:dyDescent="0.45">
      <c r="A5" s="6" t="s">
        <v>3</v>
      </c>
      <c r="B5" s="8" t="s">
        <v>1</v>
      </c>
      <c r="C5" s="8">
        <v>0.68100000000000005</v>
      </c>
      <c r="D5" s="8" t="s">
        <v>1</v>
      </c>
      <c r="E5" s="8" t="s">
        <v>1</v>
      </c>
      <c r="F5" s="5">
        <f t="shared" si="0"/>
        <v>0.68100000000000005</v>
      </c>
      <c r="I5" s="6" t="s">
        <v>2</v>
      </c>
      <c r="J5" s="5">
        <v>0.69650000000000001</v>
      </c>
      <c r="K5" s="5"/>
      <c r="L5" s="5"/>
      <c r="M5" s="5">
        <v>0.6875</v>
      </c>
      <c r="N5" s="5">
        <v>0.64900000000000002</v>
      </c>
      <c r="O5" s="5"/>
      <c r="P5" s="7">
        <v>0.67766666666666664</v>
      </c>
    </row>
    <row r="6" spans="1:16" ht="16.5" x14ac:dyDescent="0.45">
      <c r="A6" s="6" t="s">
        <v>4</v>
      </c>
      <c r="B6" s="8" t="s">
        <v>1</v>
      </c>
      <c r="C6" s="8" t="s">
        <v>1</v>
      </c>
      <c r="D6" s="8">
        <v>0.67100000000000004</v>
      </c>
      <c r="E6" s="8" t="s">
        <v>1</v>
      </c>
      <c r="F6" s="5">
        <f t="shared" si="0"/>
        <v>0.67100000000000004</v>
      </c>
      <c r="I6" s="6" t="s">
        <v>4</v>
      </c>
      <c r="J6" s="5">
        <v>0.70350000000000001</v>
      </c>
      <c r="K6" s="5">
        <v>0.73399999999999999</v>
      </c>
      <c r="L6" s="5">
        <v>0.67100000000000004</v>
      </c>
      <c r="M6" s="5"/>
      <c r="N6" s="5">
        <v>0.67900000000000005</v>
      </c>
      <c r="O6" s="5">
        <v>0.628</v>
      </c>
      <c r="P6" s="7">
        <v>0.68310000000000015</v>
      </c>
    </row>
    <row r="7" spans="1:16" ht="16.5" x14ac:dyDescent="0.45">
      <c r="I7" s="6" t="s">
        <v>0</v>
      </c>
      <c r="J7" s="5"/>
      <c r="K7" s="8">
        <v>0.65800000000000003</v>
      </c>
      <c r="L7" s="5">
        <v>0.72499999999999998</v>
      </c>
      <c r="M7" s="5">
        <v>0.6835</v>
      </c>
      <c r="N7" s="5"/>
      <c r="O7" s="5"/>
      <c r="P7" s="7">
        <v>0.6888333333333333</v>
      </c>
    </row>
    <row r="8" spans="1:16" ht="16.5" x14ac:dyDescent="0.45">
      <c r="I8" s="6" t="s">
        <v>3</v>
      </c>
      <c r="J8" s="5"/>
      <c r="K8" s="5">
        <v>0.68100000000000005</v>
      </c>
      <c r="L8" s="5"/>
      <c r="M8" s="5">
        <v>0.71199999999999997</v>
      </c>
      <c r="N8" s="5"/>
      <c r="O8" s="5">
        <v>0.70299999999999996</v>
      </c>
      <c r="P8" s="7">
        <v>0.69866666666666666</v>
      </c>
    </row>
    <row r="9" spans="1:16" x14ac:dyDescent="0.45">
      <c r="A9" s="13" t="s">
        <v>21</v>
      </c>
      <c r="B9" s="13"/>
      <c r="C9" s="13"/>
      <c r="D9" s="13"/>
      <c r="E9" s="13"/>
      <c r="F9" s="13"/>
      <c r="J9" s="4"/>
      <c r="K9" s="4"/>
      <c r="L9" s="4"/>
      <c r="M9" s="4"/>
      <c r="N9" s="4"/>
      <c r="O9" s="4"/>
    </row>
    <row r="10" spans="1:16" ht="16.5" x14ac:dyDescent="0.45">
      <c r="A10" s="6" t="s">
        <v>19</v>
      </c>
      <c r="B10" s="6" t="s">
        <v>4</v>
      </c>
      <c r="C10" s="6" t="s">
        <v>0</v>
      </c>
      <c r="D10" s="6" t="s">
        <v>10</v>
      </c>
      <c r="E10" s="6" t="s">
        <v>3</v>
      </c>
      <c r="F10" s="6" t="s">
        <v>18</v>
      </c>
    </row>
    <row r="11" spans="1:16" ht="16.5" x14ac:dyDescent="0.45">
      <c r="A11" s="9" t="s">
        <v>4</v>
      </c>
      <c r="B11" s="8" t="s">
        <v>1</v>
      </c>
      <c r="C11" s="8">
        <v>0.70899999999999996</v>
      </c>
      <c r="D11" s="8" t="s">
        <v>1</v>
      </c>
      <c r="E11" s="8" t="s">
        <v>1</v>
      </c>
      <c r="F11" s="5">
        <f>AVERAGE(B11:E11)</f>
        <v>0.70899999999999996</v>
      </c>
    </row>
    <row r="12" spans="1:16" ht="16.5" x14ac:dyDescent="0.45">
      <c r="A12" s="9" t="s">
        <v>0</v>
      </c>
      <c r="B12" s="8" t="s">
        <v>1</v>
      </c>
      <c r="C12" s="8" t="s">
        <v>1</v>
      </c>
      <c r="D12" s="8" t="s">
        <v>1</v>
      </c>
      <c r="E12" s="8">
        <v>0.72499999999999998</v>
      </c>
      <c r="F12" s="5">
        <f t="shared" ref="F12:F14" si="1">AVERAGE(B12:E12)</f>
        <v>0.72499999999999998</v>
      </c>
    </row>
    <row r="13" spans="1:16" ht="16.5" x14ac:dyDescent="0.45">
      <c r="A13" s="9" t="s">
        <v>10</v>
      </c>
      <c r="B13" s="8">
        <v>0.65</v>
      </c>
      <c r="C13" s="8" t="s">
        <v>1</v>
      </c>
      <c r="D13" s="8" t="s">
        <v>1</v>
      </c>
      <c r="E13" s="8" t="s">
        <v>1</v>
      </c>
      <c r="F13" s="5">
        <f t="shared" si="1"/>
        <v>0.65</v>
      </c>
    </row>
    <row r="14" spans="1:16" ht="16.5" x14ac:dyDescent="0.45">
      <c r="A14" s="9" t="s">
        <v>3</v>
      </c>
      <c r="B14" s="8">
        <v>0.71199999999999997</v>
      </c>
      <c r="C14" s="8" t="s">
        <v>1</v>
      </c>
      <c r="D14" s="8">
        <v>0.70299999999999996</v>
      </c>
      <c r="E14" s="8" t="s">
        <v>1</v>
      </c>
      <c r="F14" s="5">
        <f t="shared" si="1"/>
        <v>0.70750000000000002</v>
      </c>
    </row>
    <row r="17" spans="1:6" x14ac:dyDescent="0.45">
      <c r="A17" s="13" t="s">
        <v>22</v>
      </c>
      <c r="B17" s="13"/>
      <c r="C17" s="13"/>
      <c r="D17" s="13"/>
      <c r="E17" s="13"/>
      <c r="F17" s="13"/>
    </row>
    <row r="18" spans="1:6" ht="16.5" x14ac:dyDescent="0.45">
      <c r="A18" s="6" t="s">
        <v>19</v>
      </c>
      <c r="B18" s="6" t="s">
        <v>0</v>
      </c>
      <c r="C18" s="6" t="s">
        <v>10</v>
      </c>
      <c r="D18" s="6" t="s">
        <v>4</v>
      </c>
      <c r="E18" s="6" t="s">
        <v>2</v>
      </c>
      <c r="F18" s="6" t="s">
        <v>18</v>
      </c>
    </row>
    <row r="19" spans="1:6" ht="16.5" x14ac:dyDescent="0.45">
      <c r="A19" s="9" t="s">
        <v>0</v>
      </c>
      <c r="B19" s="8" t="s">
        <v>1</v>
      </c>
      <c r="C19" s="8" t="s">
        <v>1</v>
      </c>
      <c r="D19" s="8">
        <v>0.68200000000000005</v>
      </c>
      <c r="E19" s="8" t="s">
        <v>1</v>
      </c>
      <c r="F19" s="5">
        <f>AVERAGE(B19:E19)</f>
        <v>0.68200000000000005</v>
      </c>
    </row>
    <row r="20" spans="1:6" ht="16.5" x14ac:dyDescent="0.45">
      <c r="A20" s="9" t="s">
        <v>10</v>
      </c>
      <c r="B20" s="8" t="s">
        <v>1</v>
      </c>
      <c r="C20" s="8" t="s">
        <v>1</v>
      </c>
      <c r="D20" s="8" t="s">
        <v>1</v>
      </c>
      <c r="E20" s="8">
        <v>0.69499999999999995</v>
      </c>
      <c r="F20" s="5">
        <f t="shared" ref="F20:F22" si="2">AVERAGE(B20:E20)</f>
        <v>0.69499999999999995</v>
      </c>
    </row>
    <row r="21" spans="1:6" ht="16.5" x14ac:dyDescent="0.45">
      <c r="A21" s="9" t="s">
        <v>4</v>
      </c>
      <c r="B21" s="8" t="s">
        <v>1</v>
      </c>
      <c r="C21" s="8">
        <v>0.628</v>
      </c>
      <c r="D21" s="8" t="s">
        <v>1</v>
      </c>
      <c r="E21" s="8">
        <v>0.73399999999999999</v>
      </c>
      <c r="F21" s="5">
        <f t="shared" si="2"/>
        <v>0.68100000000000005</v>
      </c>
    </row>
    <row r="22" spans="1:6" ht="16.5" x14ac:dyDescent="0.45">
      <c r="A22" s="9" t="s">
        <v>2</v>
      </c>
      <c r="B22" s="8">
        <v>0.71399999999999997</v>
      </c>
      <c r="C22" s="8" t="s">
        <v>1</v>
      </c>
      <c r="D22" s="8" t="s">
        <v>1</v>
      </c>
      <c r="E22" s="8" t="s">
        <v>1</v>
      </c>
      <c r="F22" s="5">
        <f t="shared" si="2"/>
        <v>0.71399999999999997</v>
      </c>
    </row>
    <row r="25" spans="1:6" x14ac:dyDescent="0.45">
      <c r="A25" s="12" t="s">
        <v>16</v>
      </c>
      <c r="B25" s="12"/>
      <c r="C25" s="12"/>
      <c r="D25" s="12"/>
      <c r="E25" s="12"/>
      <c r="F25" s="12"/>
    </row>
    <row r="26" spans="1:6" ht="16.5" x14ac:dyDescent="0.45">
      <c r="A26" s="6" t="s">
        <v>19</v>
      </c>
      <c r="B26" s="6" t="s">
        <v>2</v>
      </c>
      <c r="C26" s="6" t="s">
        <v>0</v>
      </c>
      <c r="D26" s="6" t="s">
        <v>4</v>
      </c>
      <c r="E26" s="6" t="s">
        <v>15</v>
      </c>
      <c r="F26" s="6" t="s">
        <v>18</v>
      </c>
    </row>
    <row r="27" spans="1:6" ht="16.5" x14ac:dyDescent="0.45">
      <c r="A27" s="9" t="s">
        <v>2</v>
      </c>
      <c r="B27" s="8" t="s">
        <v>1</v>
      </c>
      <c r="C27" s="8" t="s">
        <v>1</v>
      </c>
      <c r="D27" s="8">
        <v>0.70199999999999996</v>
      </c>
      <c r="E27" s="8">
        <v>0.64900000000000002</v>
      </c>
      <c r="F27" s="5">
        <f>AVERAGE(B27:E27)</f>
        <v>0.67549999999999999</v>
      </c>
    </row>
    <row r="28" spans="1:6" ht="16.5" x14ac:dyDescent="0.45">
      <c r="A28" s="9" t="s">
        <v>0</v>
      </c>
      <c r="B28" s="8">
        <v>0.65800000000000003</v>
      </c>
      <c r="C28" s="8" t="s">
        <v>1</v>
      </c>
      <c r="D28" s="8" t="s">
        <v>1</v>
      </c>
      <c r="E28" s="8" t="s">
        <v>1</v>
      </c>
      <c r="F28" s="5">
        <f t="shared" ref="F28:F30" si="3">AVERAGE(B28:E28)</f>
        <v>0.65800000000000003</v>
      </c>
    </row>
    <row r="29" spans="1:6" ht="16.5" x14ac:dyDescent="0.45">
      <c r="A29" s="9" t="s">
        <v>4</v>
      </c>
      <c r="B29" s="8" t="s">
        <v>1</v>
      </c>
      <c r="C29" s="8">
        <v>0.69799999999999995</v>
      </c>
      <c r="D29" s="8" t="s">
        <v>1</v>
      </c>
      <c r="E29" s="8" t="s">
        <v>1</v>
      </c>
      <c r="F29" s="5">
        <f t="shared" si="3"/>
        <v>0.69799999999999995</v>
      </c>
    </row>
    <row r="30" spans="1:6" ht="16.5" x14ac:dyDescent="0.45">
      <c r="A30" s="9" t="s">
        <v>15</v>
      </c>
      <c r="B30" s="8" t="s">
        <v>1</v>
      </c>
      <c r="C30" s="8" t="s">
        <v>1</v>
      </c>
      <c r="D30" s="8">
        <v>0.66600000000000004</v>
      </c>
      <c r="E30" s="8" t="s">
        <v>1</v>
      </c>
      <c r="F30" s="5">
        <f t="shared" si="3"/>
        <v>0.66600000000000004</v>
      </c>
    </row>
    <row r="33" spans="1:6" x14ac:dyDescent="0.45">
      <c r="A33" s="12" t="s">
        <v>17</v>
      </c>
      <c r="B33" s="12"/>
      <c r="C33" s="12"/>
      <c r="D33" s="12"/>
      <c r="E33" s="12"/>
      <c r="F33" s="12"/>
    </row>
    <row r="34" spans="1:6" ht="16.5" x14ac:dyDescent="0.45">
      <c r="A34" s="6" t="s">
        <v>19</v>
      </c>
      <c r="B34" s="9" t="s">
        <v>15</v>
      </c>
      <c r="C34" s="6" t="s">
        <v>2</v>
      </c>
      <c r="D34" s="6" t="s">
        <v>10</v>
      </c>
      <c r="E34" s="6" t="s">
        <v>4</v>
      </c>
      <c r="F34" s="6" t="s">
        <v>18</v>
      </c>
    </row>
    <row r="35" spans="1:6" ht="16.5" x14ac:dyDescent="0.45">
      <c r="A35" s="9" t="s">
        <v>15</v>
      </c>
      <c r="B35" s="8" t="s">
        <v>1</v>
      </c>
      <c r="C35" s="8">
        <v>0.71399999999999997</v>
      </c>
      <c r="D35" s="8">
        <v>0.62</v>
      </c>
      <c r="E35" s="8" t="s">
        <v>1</v>
      </c>
      <c r="F35" s="5">
        <f>AVERAGE(B35:E35)</f>
        <v>0.66700000000000004</v>
      </c>
    </row>
    <row r="36" spans="1:6" ht="16.5" x14ac:dyDescent="0.45">
      <c r="A36" s="9" t="s">
        <v>2</v>
      </c>
      <c r="B36" s="8" t="s">
        <v>1</v>
      </c>
      <c r="C36" s="8" t="s">
        <v>1</v>
      </c>
      <c r="D36" s="8" t="s">
        <v>1</v>
      </c>
      <c r="E36" s="8">
        <v>0.67300000000000004</v>
      </c>
      <c r="F36" s="5">
        <f t="shared" ref="F36:F38" si="4">AVERAGE(B36:E36)</f>
        <v>0.67300000000000004</v>
      </c>
    </row>
    <row r="37" spans="1:6" ht="16.5" x14ac:dyDescent="0.45">
      <c r="A37" s="9" t="s">
        <v>10</v>
      </c>
      <c r="B37" s="8" t="s">
        <v>1</v>
      </c>
      <c r="C37" s="8">
        <v>0.64400000000000002</v>
      </c>
      <c r="D37" s="8" t="s">
        <v>1</v>
      </c>
      <c r="E37" s="8" t="s">
        <v>1</v>
      </c>
      <c r="F37" s="5">
        <f t="shared" si="4"/>
        <v>0.64400000000000002</v>
      </c>
    </row>
    <row r="38" spans="1:6" ht="16.5" x14ac:dyDescent="0.45">
      <c r="A38" s="9" t="s">
        <v>4</v>
      </c>
      <c r="B38" s="8">
        <v>0.67900000000000005</v>
      </c>
      <c r="C38" s="8" t="s">
        <v>1</v>
      </c>
      <c r="D38" s="8" t="s">
        <v>1</v>
      </c>
      <c r="E38" s="8" t="s">
        <v>1</v>
      </c>
      <c r="F38" s="5">
        <f t="shared" si="4"/>
        <v>0.67900000000000005</v>
      </c>
    </row>
  </sheetData>
  <autoFilter ref="I2:P8" xr:uid="{A4A13469-AD9D-4C3E-98D5-277925D8BECD}">
    <sortState xmlns:xlrd2="http://schemas.microsoft.com/office/spreadsheetml/2017/richdata2" ref="I3:P8">
      <sortCondition ref="P2:P8"/>
    </sortState>
  </autoFilter>
  <mergeCells count="6">
    <mergeCell ref="I1:P1"/>
    <mergeCell ref="A33:F33"/>
    <mergeCell ref="A25:F25"/>
    <mergeCell ref="A17:F17"/>
    <mergeCell ref="A9:F9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0ECC7-6CAF-48CD-87CC-33A24897871A}">
  <dimension ref="A1:F1048574"/>
  <sheetViews>
    <sheetView workbookViewId="0">
      <selection activeCell="I10" sqref="I10"/>
    </sheetView>
  </sheetViews>
  <sheetFormatPr defaultRowHeight="14.25" x14ac:dyDescent="0.45"/>
  <cols>
    <col min="1" max="1" width="11.6640625" bestFit="1" customWidth="1"/>
    <col min="3" max="5" width="9.33203125" bestFit="1" customWidth="1"/>
    <col min="6" max="6" width="10.3984375" bestFit="1" customWidth="1"/>
  </cols>
  <sheetData>
    <row r="1" spans="1:6" ht="16.5" x14ac:dyDescent="0.45">
      <c r="A1" s="1" t="s">
        <v>5</v>
      </c>
      <c r="B1" s="1" t="s">
        <v>11</v>
      </c>
      <c r="C1" s="3" t="s">
        <v>6</v>
      </c>
      <c r="D1" s="3" t="s">
        <v>7</v>
      </c>
      <c r="E1" s="3" t="s">
        <v>8</v>
      </c>
      <c r="F1" s="3" t="s">
        <v>9</v>
      </c>
    </row>
    <row r="2" spans="1:6" ht="16.5" x14ac:dyDescent="0.45">
      <c r="A2" s="1" t="s">
        <v>0</v>
      </c>
      <c r="B2" s="1" t="s">
        <v>12</v>
      </c>
      <c r="C2" s="2">
        <v>0.68799999999999994</v>
      </c>
      <c r="D2" s="2">
        <v>0.58599999999999997</v>
      </c>
      <c r="E2" s="2">
        <v>0.71499999999999997</v>
      </c>
      <c r="F2" s="2">
        <v>0.67900000000000005</v>
      </c>
    </row>
    <row r="3" spans="1:6" ht="16.5" x14ac:dyDescent="0.45">
      <c r="A3" s="1" t="s">
        <v>2</v>
      </c>
      <c r="B3" s="1" t="s">
        <v>12</v>
      </c>
      <c r="C3" s="2">
        <v>0.68600000000000005</v>
      </c>
      <c r="D3" s="2">
        <v>0.71599999999999997</v>
      </c>
      <c r="E3" s="2">
        <v>0.64300000000000002</v>
      </c>
      <c r="F3" s="2">
        <v>0.68100000000000005</v>
      </c>
    </row>
    <row r="4" spans="1:6" ht="16.5" x14ac:dyDescent="0.45">
      <c r="A4" s="1" t="s">
        <v>3</v>
      </c>
      <c r="B4" s="1" t="s">
        <v>12</v>
      </c>
      <c r="C4" s="2">
        <v>0.77400000000000002</v>
      </c>
      <c r="D4" s="2">
        <v>0.61799999999999999</v>
      </c>
      <c r="E4" s="2">
        <v>0.62</v>
      </c>
      <c r="F4" s="2">
        <v>0.67100000000000004</v>
      </c>
    </row>
    <row r="5" spans="1:6" ht="16.5" x14ac:dyDescent="0.45">
      <c r="A5" s="1" t="s">
        <v>4</v>
      </c>
      <c r="B5" s="1" t="s">
        <v>12</v>
      </c>
      <c r="C5" s="2">
        <v>0.72599999999999998</v>
      </c>
      <c r="D5" s="2">
        <v>0.61599999999999999</v>
      </c>
      <c r="E5" s="2">
        <v>0.73799999999999999</v>
      </c>
      <c r="F5" s="2">
        <v>0.68500000000000005</v>
      </c>
    </row>
    <row r="6" spans="1:6" ht="16.5" x14ac:dyDescent="0.45">
      <c r="A6" s="1" t="s">
        <v>4</v>
      </c>
      <c r="B6" s="1" t="s">
        <v>13</v>
      </c>
      <c r="C6" s="2">
        <v>0.73099999999999998</v>
      </c>
      <c r="D6" s="2">
        <v>0.67900000000000005</v>
      </c>
      <c r="E6" s="2">
        <v>0.63600000000000001</v>
      </c>
      <c r="F6" s="2">
        <v>0.68100000000000005</v>
      </c>
    </row>
    <row r="7" spans="1:6" ht="16.5" x14ac:dyDescent="0.45">
      <c r="A7" s="1" t="s">
        <v>0</v>
      </c>
      <c r="B7" s="1" t="s">
        <v>13</v>
      </c>
      <c r="C7" s="2">
        <v>0.754</v>
      </c>
      <c r="D7" s="2">
        <v>0.65900000000000003</v>
      </c>
      <c r="E7" s="2">
        <v>0.66800000000000004</v>
      </c>
      <c r="F7" s="2">
        <v>0.70899999999999996</v>
      </c>
    </row>
    <row r="8" spans="1:6" ht="16.5" x14ac:dyDescent="0.45">
      <c r="A8" s="1" t="s">
        <v>10</v>
      </c>
      <c r="B8" s="1" t="s">
        <v>13</v>
      </c>
      <c r="C8" s="2">
        <v>0.752</v>
      </c>
      <c r="D8" s="2">
        <v>0.64600000000000002</v>
      </c>
      <c r="E8" s="2">
        <v>0.71199999999999997</v>
      </c>
      <c r="F8" s="2">
        <v>0.70299999999999996</v>
      </c>
    </row>
    <row r="9" spans="1:6" ht="16.5" x14ac:dyDescent="0.45">
      <c r="A9" s="1" t="s">
        <v>3</v>
      </c>
      <c r="B9" s="1" t="s">
        <v>13</v>
      </c>
      <c r="C9" s="2">
        <v>0.76700000000000002</v>
      </c>
      <c r="D9" s="2">
        <v>0.68300000000000005</v>
      </c>
      <c r="E9" s="2" t="s">
        <v>1</v>
      </c>
      <c r="F9" s="2">
        <v>0.72499999999999998</v>
      </c>
    </row>
    <row r="10" spans="1:6" ht="16.5" x14ac:dyDescent="0.45">
      <c r="A10" s="1" t="s">
        <v>0</v>
      </c>
      <c r="B10" s="1" t="s">
        <v>14</v>
      </c>
      <c r="C10" s="2">
        <v>0.70399999999999996</v>
      </c>
      <c r="D10" s="2">
        <v>0.73399999999999999</v>
      </c>
      <c r="E10" s="2">
        <v>0.69199999999999995</v>
      </c>
      <c r="F10" s="2">
        <v>0.71399999999999997</v>
      </c>
    </row>
    <row r="11" spans="1:6" ht="16.5" x14ac:dyDescent="0.45">
      <c r="A11" s="1" t="s">
        <v>10</v>
      </c>
      <c r="B11" s="1" t="s">
        <v>14</v>
      </c>
      <c r="C11" s="2">
        <v>0.68700000000000006</v>
      </c>
      <c r="D11" s="2">
        <v>0.61399999999999999</v>
      </c>
      <c r="E11" s="2">
        <v>0.58199999999999996</v>
      </c>
      <c r="F11" s="2">
        <v>0.628</v>
      </c>
    </row>
    <row r="12" spans="1:6" ht="16.5" x14ac:dyDescent="0.45">
      <c r="A12" s="1" t="s">
        <v>4</v>
      </c>
      <c r="B12" s="1" t="s">
        <v>14</v>
      </c>
      <c r="C12" s="2">
        <v>0.71899999999999997</v>
      </c>
      <c r="D12" s="2">
        <v>0.60199999999999998</v>
      </c>
      <c r="E12" s="2">
        <v>0.76700000000000002</v>
      </c>
      <c r="F12" s="2">
        <v>0.68200000000000005</v>
      </c>
    </row>
    <row r="13" spans="1:6" ht="16.5" x14ac:dyDescent="0.45">
      <c r="A13" s="1" t="s">
        <v>2</v>
      </c>
      <c r="B13" s="1" t="s">
        <v>14</v>
      </c>
      <c r="C13" s="2">
        <v>0.79100000000000004</v>
      </c>
      <c r="D13" s="2">
        <v>0.65400000000000003</v>
      </c>
      <c r="E13" s="2">
        <v>0.66200000000000003</v>
      </c>
      <c r="F13" s="2">
        <v>0.71099999999999997</v>
      </c>
    </row>
    <row r="14" spans="1:6" ht="16.5" x14ac:dyDescent="0.45">
      <c r="A14" s="1" t="s">
        <v>2</v>
      </c>
      <c r="B14" s="1" t="s">
        <v>16</v>
      </c>
      <c r="C14" s="2">
        <v>0.69099999999999995</v>
      </c>
      <c r="D14" s="2">
        <v>0.62</v>
      </c>
      <c r="E14" s="2">
        <v>0.66700000000000004</v>
      </c>
      <c r="F14" s="2">
        <v>0.65800000000000003</v>
      </c>
    </row>
    <row r="15" spans="1:6" ht="16.5" x14ac:dyDescent="0.45">
      <c r="A15" s="1" t="s">
        <v>0</v>
      </c>
      <c r="B15" s="1" t="s">
        <v>16</v>
      </c>
      <c r="C15" s="2">
        <v>0.72699999999999998</v>
      </c>
      <c r="D15" s="2">
        <v>0.69799999999999995</v>
      </c>
      <c r="E15" s="2">
        <v>0.63900000000000001</v>
      </c>
      <c r="F15" s="2">
        <v>0.69799999999999995</v>
      </c>
    </row>
    <row r="16" spans="1:6" ht="16.5" x14ac:dyDescent="0.45">
      <c r="A16" s="1" t="s">
        <v>4</v>
      </c>
      <c r="B16" s="1" t="s">
        <v>16</v>
      </c>
      <c r="C16" s="2">
        <v>0.748</v>
      </c>
      <c r="D16" s="2">
        <v>0.63500000000000001</v>
      </c>
      <c r="E16" s="2">
        <v>0.63500000000000001</v>
      </c>
      <c r="F16" s="2">
        <v>0.68</v>
      </c>
    </row>
    <row r="17" spans="1:6" ht="16.5" x14ac:dyDescent="0.45">
      <c r="A17" s="1" t="s">
        <v>15</v>
      </c>
      <c r="B17" s="1" t="s">
        <v>16</v>
      </c>
      <c r="C17" s="2">
        <v>0.68300000000000005</v>
      </c>
      <c r="D17" s="2">
        <v>0.58899999999999997</v>
      </c>
      <c r="E17" s="2">
        <v>0.67300000000000004</v>
      </c>
      <c r="F17" s="2">
        <v>0.64900000000000002</v>
      </c>
    </row>
    <row r="18" spans="1:6" ht="16.5" x14ac:dyDescent="0.45">
      <c r="A18" s="1" t="s">
        <v>15</v>
      </c>
      <c r="B18" s="1" t="s">
        <v>17</v>
      </c>
      <c r="C18" s="2">
        <v>0.752</v>
      </c>
      <c r="D18" s="2">
        <v>0.63</v>
      </c>
      <c r="E18" s="2" t="s">
        <v>1</v>
      </c>
      <c r="F18" s="2">
        <v>0.67900000000000005</v>
      </c>
    </row>
    <row r="19" spans="1:6" ht="16.5" x14ac:dyDescent="0.45">
      <c r="A19" s="1" t="s">
        <v>2</v>
      </c>
      <c r="B19" s="1" t="s">
        <v>17</v>
      </c>
      <c r="C19" s="2">
        <v>0.65300000000000002</v>
      </c>
      <c r="D19" s="2">
        <v>0.70899999999999996</v>
      </c>
      <c r="E19" s="2">
        <v>0.64700000000000002</v>
      </c>
      <c r="F19" s="2">
        <v>0.67900000000000005</v>
      </c>
    </row>
    <row r="20" spans="1:6" ht="16.5" x14ac:dyDescent="0.45">
      <c r="A20" s="1" t="s">
        <v>10</v>
      </c>
      <c r="B20" s="1" t="s">
        <v>17</v>
      </c>
      <c r="C20" s="2">
        <v>0.65200000000000002</v>
      </c>
      <c r="D20" s="2">
        <v>0.60599999999999998</v>
      </c>
      <c r="E20" s="2">
        <v>0.60199999999999998</v>
      </c>
      <c r="F20" s="2">
        <v>0.62</v>
      </c>
    </row>
    <row r="21" spans="1:6" ht="16.5" x14ac:dyDescent="0.45">
      <c r="A21" s="1" t="s">
        <v>4</v>
      </c>
      <c r="B21" s="1" t="s">
        <v>17</v>
      </c>
      <c r="C21" s="2">
        <v>0.66900000000000004</v>
      </c>
      <c r="D21" s="2">
        <v>0.66500000000000004</v>
      </c>
      <c r="E21" s="2">
        <v>0.69499999999999995</v>
      </c>
      <c r="F21" s="2">
        <v>0.67300000000000004</v>
      </c>
    </row>
    <row r="23" spans="1:6" ht="16.5" x14ac:dyDescent="0.45">
      <c r="A23" s="1" t="s">
        <v>18</v>
      </c>
      <c r="C23" s="4">
        <f>AVERAGE(C2:C21)</f>
        <v>0.7177</v>
      </c>
      <c r="D23" s="4">
        <f t="shared" ref="D23:F23" si="0">AVERAGE(D2:D21)</f>
        <v>0.64795000000000003</v>
      </c>
      <c r="E23" s="4">
        <f t="shared" si="0"/>
        <v>0.66627777777777775</v>
      </c>
      <c r="F23" s="4">
        <f t="shared" si="0"/>
        <v>0.68025000000000002</v>
      </c>
    </row>
    <row r="24" spans="1:6" ht="16.5" x14ac:dyDescent="0.45">
      <c r="A24" s="1" t="s">
        <v>24</v>
      </c>
      <c r="C24" s="4">
        <f>_xlfn.STDEV.S(C2:C21)</f>
        <v>4.0849015964441023E-2</v>
      </c>
      <c r="D24" s="4">
        <f t="shared" ref="D24:F24" si="1">_xlfn.STDEV.S(D2:D21)</f>
        <v>4.3793144140198602E-2</v>
      </c>
      <c r="E24" s="4">
        <f t="shared" si="1"/>
        <v>4.7425242168820207E-2</v>
      </c>
      <c r="F24" s="4">
        <f t="shared" si="1"/>
        <v>2.6899178230453125E-2</v>
      </c>
    </row>
    <row r="1048574" spans="2:2" ht="16.5" x14ac:dyDescent="0.45">
      <c r="B104857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F1117-BBB5-4536-B919-238FA104113D}">
  <dimension ref="A1:I121"/>
  <sheetViews>
    <sheetView tabSelected="1" zoomScale="70" zoomScaleNormal="70" workbookViewId="0">
      <pane ySplit="1" topLeftCell="A34" activePane="bottomLeft" state="frozen"/>
      <selection pane="bottomLeft" activeCell="M50" sqref="M50"/>
    </sheetView>
  </sheetViews>
  <sheetFormatPr defaultRowHeight="14.25" x14ac:dyDescent="0.45"/>
  <cols>
    <col min="1" max="1" width="8.06640625" bestFit="1" customWidth="1"/>
    <col min="2" max="2" width="8.06640625" customWidth="1"/>
    <col min="3" max="3" width="7.19921875" bestFit="1" customWidth="1"/>
    <col min="4" max="4" width="6.19921875" bestFit="1" customWidth="1"/>
    <col min="5" max="5" width="9.6640625" bestFit="1" customWidth="1"/>
    <col min="6" max="6" width="5.6640625" bestFit="1" customWidth="1"/>
    <col min="7" max="7" width="8.86328125" bestFit="1" customWidth="1"/>
    <col min="8" max="8" width="10.59765625" customWidth="1"/>
  </cols>
  <sheetData>
    <row r="1" spans="1:9" x14ac:dyDescent="0.45">
      <c r="A1" t="s">
        <v>29</v>
      </c>
      <c r="B1" t="s">
        <v>40</v>
      </c>
      <c r="C1" t="s">
        <v>5</v>
      </c>
      <c r="D1" t="s">
        <v>25</v>
      </c>
      <c r="E1" t="s">
        <v>26</v>
      </c>
      <c r="F1" t="s">
        <v>27</v>
      </c>
      <c r="G1" t="s">
        <v>30</v>
      </c>
      <c r="H1" t="s">
        <v>31</v>
      </c>
      <c r="I1" t="s">
        <v>28</v>
      </c>
    </row>
    <row r="2" spans="1:9" x14ac:dyDescent="0.45">
      <c r="A2" t="s">
        <v>32</v>
      </c>
      <c r="B2" t="s">
        <v>12</v>
      </c>
      <c r="C2" t="s">
        <v>2</v>
      </c>
      <c r="D2" t="s">
        <v>33</v>
      </c>
      <c r="E2" t="s">
        <v>1</v>
      </c>
      <c r="F2" t="s">
        <v>26</v>
      </c>
      <c r="G2">
        <v>535.9</v>
      </c>
      <c r="H2">
        <v>568.79999999999995</v>
      </c>
      <c r="I2">
        <v>0.15570000000000001</v>
      </c>
    </row>
    <row r="3" spans="1:9" x14ac:dyDescent="0.45">
      <c r="A3" t="s">
        <v>32</v>
      </c>
      <c r="B3" t="s">
        <v>12</v>
      </c>
      <c r="C3" t="s">
        <v>0</v>
      </c>
      <c r="D3" t="s">
        <v>6</v>
      </c>
      <c r="E3" t="s">
        <v>2</v>
      </c>
      <c r="F3">
        <v>0.69799999999999995</v>
      </c>
      <c r="G3">
        <v>396.3</v>
      </c>
      <c r="H3">
        <v>567.4</v>
      </c>
      <c r="I3">
        <v>0.1118</v>
      </c>
    </row>
    <row r="4" spans="1:9" x14ac:dyDescent="0.45">
      <c r="A4" t="s">
        <v>32</v>
      </c>
      <c r="B4" t="s">
        <v>12</v>
      </c>
      <c r="C4" t="s">
        <v>4</v>
      </c>
      <c r="D4" t="s">
        <v>7</v>
      </c>
      <c r="E4" t="s">
        <v>0</v>
      </c>
      <c r="F4">
        <v>0.61099999999999999</v>
      </c>
      <c r="G4">
        <v>358.8</v>
      </c>
      <c r="H4">
        <v>587.20000000000005</v>
      </c>
      <c r="I4">
        <v>0.1003</v>
      </c>
    </row>
    <row r="5" spans="1:9" x14ac:dyDescent="0.45">
      <c r="A5" t="s">
        <v>32</v>
      </c>
      <c r="B5" t="s">
        <v>12</v>
      </c>
      <c r="C5" t="s">
        <v>3</v>
      </c>
      <c r="D5" t="s">
        <v>8</v>
      </c>
      <c r="E5" t="s">
        <v>4</v>
      </c>
      <c r="F5">
        <v>0.58499999999999996</v>
      </c>
      <c r="G5">
        <v>311.2</v>
      </c>
      <c r="H5">
        <v>532.1</v>
      </c>
      <c r="I5">
        <v>8.7800000000000003E-2</v>
      </c>
    </row>
    <row r="6" spans="1:9" x14ac:dyDescent="0.45">
      <c r="A6" t="s">
        <v>34</v>
      </c>
      <c r="B6" t="s">
        <v>12</v>
      </c>
      <c r="C6" t="s">
        <v>0</v>
      </c>
      <c r="D6" t="s">
        <v>33</v>
      </c>
      <c r="E6" t="s">
        <v>1</v>
      </c>
      <c r="F6" t="s">
        <v>26</v>
      </c>
      <c r="G6">
        <v>572.79999999999995</v>
      </c>
      <c r="H6">
        <v>581.79999999999995</v>
      </c>
      <c r="I6">
        <v>0.1623</v>
      </c>
    </row>
    <row r="7" spans="1:9" x14ac:dyDescent="0.45">
      <c r="A7" t="s">
        <v>34</v>
      </c>
      <c r="B7" t="s">
        <v>12</v>
      </c>
      <c r="C7" t="s">
        <v>4</v>
      </c>
      <c r="D7" t="s">
        <v>6</v>
      </c>
      <c r="E7" t="s">
        <v>0</v>
      </c>
      <c r="F7">
        <v>0.70799999999999996</v>
      </c>
      <c r="G7">
        <v>425.4</v>
      </c>
      <c r="H7">
        <v>600.4</v>
      </c>
      <c r="I7">
        <v>0.1183</v>
      </c>
    </row>
    <row r="8" spans="1:9" x14ac:dyDescent="0.45">
      <c r="A8" t="s">
        <v>34</v>
      </c>
      <c r="B8" t="s">
        <v>12</v>
      </c>
      <c r="C8" t="s">
        <v>3</v>
      </c>
      <c r="D8" t="s">
        <v>7</v>
      </c>
      <c r="E8" t="s">
        <v>4</v>
      </c>
      <c r="F8">
        <v>0.59599999999999997</v>
      </c>
      <c r="G8">
        <v>324.8</v>
      </c>
      <c r="H8">
        <v>544.6</v>
      </c>
      <c r="I8">
        <v>8.9899999999999994E-2</v>
      </c>
    </row>
    <row r="9" spans="1:9" x14ac:dyDescent="0.45">
      <c r="A9" t="s">
        <v>34</v>
      </c>
      <c r="B9" t="s">
        <v>12</v>
      </c>
      <c r="C9" t="s">
        <v>2</v>
      </c>
      <c r="D9" t="s">
        <v>8</v>
      </c>
      <c r="E9" t="s">
        <v>3</v>
      </c>
      <c r="F9">
        <v>0.63200000000000001</v>
      </c>
      <c r="G9">
        <v>367.1</v>
      </c>
      <c r="H9">
        <v>581.20000000000005</v>
      </c>
      <c r="I9">
        <v>0.1057</v>
      </c>
    </row>
    <row r="10" spans="1:9" x14ac:dyDescent="0.45">
      <c r="A10" t="s">
        <v>35</v>
      </c>
      <c r="B10" t="s">
        <v>12</v>
      </c>
      <c r="C10" t="s">
        <v>4</v>
      </c>
      <c r="D10" t="s">
        <v>33</v>
      </c>
      <c r="E10" t="s">
        <v>1</v>
      </c>
      <c r="F10" t="s">
        <v>26</v>
      </c>
      <c r="G10">
        <v>649.29999999999995</v>
      </c>
      <c r="H10">
        <v>623.70000000000005</v>
      </c>
      <c r="I10">
        <v>0.1779</v>
      </c>
    </row>
    <row r="11" spans="1:9" x14ac:dyDescent="0.45">
      <c r="A11" t="s">
        <v>35</v>
      </c>
      <c r="B11" t="s">
        <v>12</v>
      </c>
      <c r="C11" t="s">
        <v>3</v>
      </c>
      <c r="D11" t="s">
        <v>6</v>
      </c>
      <c r="E11" t="s">
        <v>4</v>
      </c>
      <c r="F11">
        <v>0.75800000000000001</v>
      </c>
      <c r="G11">
        <v>427.3</v>
      </c>
      <c r="H11">
        <v>563.6</v>
      </c>
      <c r="I11">
        <v>0.11559999999999999</v>
      </c>
    </row>
    <row r="12" spans="1:9" x14ac:dyDescent="0.45">
      <c r="A12" t="s">
        <v>35</v>
      </c>
      <c r="B12" t="s">
        <v>12</v>
      </c>
      <c r="C12" t="s">
        <v>2</v>
      </c>
      <c r="D12" t="s">
        <v>7</v>
      </c>
      <c r="E12" t="s">
        <v>3</v>
      </c>
      <c r="F12">
        <v>0.71499999999999997</v>
      </c>
      <c r="G12">
        <v>431.6</v>
      </c>
      <c r="H12">
        <v>603.6</v>
      </c>
      <c r="I12">
        <v>0.11609999999999999</v>
      </c>
    </row>
    <row r="13" spans="1:9" x14ac:dyDescent="0.45">
      <c r="A13" t="s">
        <v>35</v>
      </c>
      <c r="B13" t="s">
        <v>12</v>
      </c>
      <c r="C13" t="s">
        <v>0</v>
      </c>
      <c r="D13" t="s">
        <v>8</v>
      </c>
      <c r="E13" t="s">
        <v>2</v>
      </c>
      <c r="F13">
        <v>0.72699999999999998</v>
      </c>
      <c r="G13">
        <v>438.2</v>
      </c>
      <c r="H13">
        <v>602.79999999999995</v>
      </c>
      <c r="I13">
        <v>0.1177</v>
      </c>
    </row>
    <row r="14" spans="1:9" x14ac:dyDescent="0.45">
      <c r="A14" t="s">
        <v>36</v>
      </c>
      <c r="B14" t="s">
        <v>12</v>
      </c>
      <c r="C14" t="s">
        <v>3</v>
      </c>
      <c r="D14" t="s">
        <v>33</v>
      </c>
      <c r="E14" t="s">
        <v>1</v>
      </c>
      <c r="F14" t="s">
        <v>26</v>
      </c>
      <c r="G14">
        <v>507.3</v>
      </c>
      <c r="H14">
        <v>563.70000000000005</v>
      </c>
      <c r="I14">
        <v>0.1386</v>
      </c>
    </row>
    <row r="15" spans="1:9" x14ac:dyDescent="0.45">
      <c r="A15" t="s">
        <v>36</v>
      </c>
      <c r="B15" t="s">
        <v>12</v>
      </c>
      <c r="C15" t="s">
        <v>2</v>
      </c>
      <c r="D15" t="s">
        <v>6</v>
      </c>
      <c r="E15" t="s">
        <v>3</v>
      </c>
      <c r="F15">
        <v>0.65200000000000002</v>
      </c>
      <c r="G15">
        <v>395.8</v>
      </c>
      <c r="H15">
        <v>606.9</v>
      </c>
      <c r="I15">
        <v>0.10489999999999999</v>
      </c>
    </row>
    <row r="16" spans="1:9" x14ac:dyDescent="0.45">
      <c r="A16" t="s">
        <v>36</v>
      </c>
      <c r="B16" t="s">
        <v>12</v>
      </c>
      <c r="C16" t="s">
        <v>0</v>
      </c>
      <c r="D16" t="s">
        <v>7</v>
      </c>
      <c r="E16" t="s">
        <v>2</v>
      </c>
      <c r="F16">
        <v>0.56499999999999995</v>
      </c>
      <c r="G16">
        <v>344</v>
      </c>
      <c r="H16">
        <v>608.4</v>
      </c>
      <c r="I16">
        <v>8.9099999999999999E-2</v>
      </c>
    </row>
    <row r="17" spans="1:9" x14ac:dyDescent="0.45">
      <c r="A17" t="s">
        <v>36</v>
      </c>
      <c r="B17" t="s">
        <v>12</v>
      </c>
      <c r="C17" t="s">
        <v>4</v>
      </c>
      <c r="D17" t="s">
        <v>8</v>
      </c>
      <c r="E17" t="s">
        <v>0</v>
      </c>
      <c r="F17">
        <v>0.69099999999999995</v>
      </c>
      <c r="G17">
        <v>433.8</v>
      </c>
      <c r="H17">
        <v>627.29999999999995</v>
      </c>
      <c r="I17">
        <v>0.1163</v>
      </c>
    </row>
    <row r="18" spans="1:9" x14ac:dyDescent="0.45">
      <c r="A18" t="s">
        <v>37</v>
      </c>
      <c r="B18" t="s">
        <v>12</v>
      </c>
      <c r="C18" t="s">
        <v>2</v>
      </c>
      <c r="D18" t="s">
        <v>33</v>
      </c>
      <c r="E18" t="s">
        <v>1</v>
      </c>
      <c r="F18" t="s">
        <v>26</v>
      </c>
      <c r="G18">
        <v>567</v>
      </c>
      <c r="H18">
        <v>586.70000000000005</v>
      </c>
      <c r="I18">
        <v>0.16</v>
      </c>
    </row>
    <row r="19" spans="1:9" x14ac:dyDescent="0.45">
      <c r="A19" t="s">
        <v>37</v>
      </c>
      <c r="B19" t="s">
        <v>12</v>
      </c>
      <c r="C19" t="s">
        <v>0</v>
      </c>
      <c r="D19" t="s">
        <v>6</v>
      </c>
      <c r="E19" t="s">
        <v>2</v>
      </c>
      <c r="F19">
        <v>0.69899999999999995</v>
      </c>
      <c r="G19">
        <v>407.9</v>
      </c>
      <c r="H19">
        <v>583.5</v>
      </c>
      <c r="I19">
        <v>0.1124</v>
      </c>
    </row>
    <row r="20" spans="1:9" x14ac:dyDescent="0.45">
      <c r="A20" t="s">
        <v>37</v>
      </c>
      <c r="B20" t="s">
        <v>12</v>
      </c>
      <c r="C20" t="s">
        <v>4</v>
      </c>
      <c r="D20" t="s">
        <v>7</v>
      </c>
      <c r="E20" t="s">
        <v>0</v>
      </c>
      <c r="F20">
        <v>0.59499999999999997</v>
      </c>
      <c r="G20">
        <v>357.5</v>
      </c>
      <c r="H20">
        <v>601.29999999999995</v>
      </c>
      <c r="I20">
        <v>9.7100000000000006E-2</v>
      </c>
    </row>
    <row r="21" spans="1:9" x14ac:dyDescent="0.45">
      <c r="A21" t="s">
        <v>37</v>
      </c>
      <c r="B21" t="s">
        <v>12</v>
      </c>
      <c r="C21" t="s">
        <v>3</v>
      </c>
      <c r="D21" t="s">
        <v>8</v>
      </c>
      <c r="E21" t="s">
        <v>4</v>
      </c>
      <c r="F21">
        <v>0.59599999999999997</v>
      </c>
      <c r="G21">
        <v>327.39999999999998</v>
      </c>
      <c r="H21">
        <v>549.5</v>
      </c>
      <c r="I21">
        <v>8.9300000000000004E-2</v>
      </c>
    </row>
    <row r="22" spans="1:9" x14ac:dyDescent="0.45">
      <c r="A22" t="s">
        <v>38</v>
      </c>
      <c r="B22" t="s">
        <v>12</v>
      </c>
      <c r="C22" t="s">
        <v>0</v>
      </c>
      <c r="D22" t="s">
        <v>33</v>
      </c>
      <c r="E22" t="s">
        <v>1</v>
      </c>
      <c r="F22" t="s">
        <v>26</v>
      </c>
      <c r="G22">
        <v>566.20000000000005</v>
      </c>
      <c r="H22">
        <v>579.9</v>
      </c>
      <c r="I22">
        <v>0.16070000000000001</v>
      </c>
    </row>
    <row r="23" spans="1:9" x14ac:dyDescent="0.45">
      <c r="A23" t="s">
        <v>38</v>
      </c>
      <c r="B23" t="s">
        <v>12</v>
      </c>
      <c r="C23" t="s">
        <v>4</v>
      </c>
      <c r="D23" t="s">
        <v>6</v>
      </c>
      <c r="E23" t="s">
        <v>0</v>
      </c>
      <c r="F23">
        <v>0.72099999999999997</v>
      </c>
      <c r="G23">
        <v>427.5</v>
      </c>
      <c r="H23">
        <v>592.70000000000005</v>
      </c>
      <c r="I23">
        <v>0.1207</v>
      </c>
    </row>
    <row r="24" spans="1:9" x14ac:dyDescent="0.45">
      <c r="A24" t="s">
        <v>38</v>
      </c>
      <c r="B24" t="s">
        <v>12</v>
      </c>
      <c r="C24" t="s">
        <v>3</v>
      </c>
      <c r="D24" t="s">
        <v>7</v>
      </c>
      <c r="E24" t="s">
        <v>4</v>
      </c>
      <c r="F24">
        <v>0.60799999999999998</v>
      </c>
      <c r="G24">
        <v>329.7</v>
      </c>
      <c r="H24">
        <v>542.1</v>
      </c>
      <c r="I24">
        <v>9.1600000000000001E-2</v>
      </c>
    </row>
    <row r="25" spans="1:9" x14ac:dyDescent="0.45">
      <c r="A25" t="s">
        <v>38</v>
      </c>
      <c r="B25" t="s">
        <v>12</v>
      </c>
      <c r="C25" t="s">
        <v>2</v>
      </c>
      <c r="D25" t="s">
        <v>8</v>
      </c>
      <c r="E25" t="s">
        <v>3</v>
      </c>
      <c r="F25">
        <v>0.628</v>
      </c>
      <c r="G25">
        <v>363.7</v>
      </c>
      <c r="H25">
        <v>578.79999999999995</v>
      </c>
      <c r="I25">
        <v>0.1009</v>
      </c>
    </row>
    <row r="26" spans="1:9" x14ac:dyDescent="0.45">
      <c r="A26" t="s">
        <v>39</v>
      </c>
      <c r="B26" t="s">
        <v>12</v>
      </c>
      <c r="C26" t="s">
        <v>4</v>
      </c>
      <c r="D26" t="s">
        <v>33</v>
      </c>
      <c r="E26" t="s">
        <v>1</v>
      </c>
      <c r="F26" t="s">
        <v>26</v>
      </c>
      <c r="G26">
        <v>649.20000000000005</v>
      </c>
      <c r="H26">
        <v>635</v>
      </c>
      <c r="I26">
        <v>0.17460000000000001</v>
      </c>
    </row>
    <row r="27" spans="1:9" x14ac:dyDescent="0.45">
      <c r="A27" t="s">
        <v>39</v>
      </c>
      <c r="B27" t="s">
        <v>12</v>
      </c>
      <c r="C27" t="s">
        <v>3</v>
      </c>
      <c r="D27" t="s">
        <v>6</v>
      </c>
      <c r="E27" t="s">
        <v>4</v>
      </c>
      <c r="F27">
        <v>0.74099999999999999</v>
      </c>
      <c r="G27">
        <v>424.8</v>
      </c>
      <c r="H27">
        <v>573.20000000000005</v>
      </c>
      <c r="I27">
        <v>0.1135</v>
      </c>
    </row>
    <row r="28" spans="1:9" x14ac:dyDescent="0.45">
      <c r="A28" t="s">
        <v>39</v>
      </c>
      <c r="B28" t="s">
        <v>12</v>
      </c>
      <c r="C28" t="s">
        <v>2</v>
      </c>
      <c r="D28" t="s">
        <v>7</v>
      </c>
      <c r="E28" t="s">
        <v>3</v>
      </c>
      <c r="F28">
        <v>0.71099999999999997</v>
      </c>
      <c r="G28">
        <v>435.7</v>
      </c>
      <c r="H28">
        <v>612.79999999999995</v>
      </c>
      <c r="I28">
        <v>0.1157</v>
      </c>
    </row>
    <row r="29" spans="1:9" x14ac:dyDescent="0.45">
      <c r="A29" t="s">
        <v>39</v>
      </c>
      <c r="B29" t="s">
        <v>12</v>
      </c>
      <c r="C29" t="s">
        <v>0</v>
      </c>
      <c r="D29" t="s">
        <v>8</v>
      </c>
      <c r="E29" t="s">
        <v>2</v>
      </c>
      <c r="F29">
        <v>0.69</v>
      </c>
      <c r="G29">
        <v>422.8</v>
      </c>
      <c r="H29">
        <v>613.1</v>
      </c>
      <c r="I29">
        <v>0.1115</v>
      </c>
    </row>
    <row r="30" spans="1:9" x14ac:dyDescent="0.45">
      <c r="A30" s="10" t="s">
        <v>32</v>
      </c>
      <c r="B30" s="10" t="s">
        <v>13</v>
      </c>
      <c r="C30" s="10" t="s">
        <v>4</v>
      </c>
      <c r="D30" s="10" t="s">
        <v>33</v>
      </c>
      <c r="E30" s="10" t="s">
        <v>1</v>
      </c>
      <c r="F30" s="10" t="s">
        <v>26</v>
      </c>
      <c r="G30" s="10">
        <v>639.4</v>
      </c>
      <c r="H30" s="10">
        <v>621.4</v>
      </c>
      <c r="I30" s="10">
        <v>0.16869999999999999</v>
      </c>
    </row>
    <row r="31" spans="1:9" x14ac:dyDescent="0.45">
      <c r="A31" s="10" t="s">
        <v>32</v>
      </c>
      <c r="B31" s="10" t="s">
        <v>13</v>
      </c>
      <c r="C31" s="10" t="s">
        <v>0</v>
      </c>
      <c r="D31" s="10" t="s">
        <v>6</v>
      </c>
      <c r="E31" s="10" t="s">
        <v>4</v>
      </c>
      <c r="F31" s="10">
        <v>0.77400000000000002</v>
      </c>
      <c r="G31" s="10">
        <v>479.3</v>
      </c>
      <c r="H31" s="10">
        <v>619.29999999999995</v>
      </c>
      <c r="I31" s="10">
        <v>0.12559999999999999</v>
      </c>
    </row>
    <row r="32" spans="1:9" x14ac:dyDescent="0.45">
      <c r="A32" s="10" t="s">
        <v>32</v>
      </c>
      <c r="B32" s="10" t="s">
        <v>13</v>
      </c>
      <c r="C32" s="10" t="s">
        <v>3</v>
      </c>
      <c r="D32" s="10" t="s">
        <v>7</v>
      </c>
      <c r="E32" s="10" t="s">
        <v>0</v>
      </c>
      <c r="F32" s="10">
        <v>0.69199999999999995</v>
      </c>
      <c r="G32" s="10">
        <v>370.9</v>
      </c>
      <c r="H32" s="10">
        <v>535.79999999999995</v>
      </c>
      <c r="I32" s="10">
        <v>9.7100000000000006E-2</v>
      </c>
    </row>
    <row r="33" spans="1:9" x14ac:dyDescent="0.45">
      <c r="A33" s="10" t="s">
        <v>32</v>
      </c>
      <c r="B33" s="10" t="s">
        <v>13</v>
      </c>
      <c r="C33" s="10" t="s">
        <v>10</v>
      </c>
      <c r="D33" s="10" t="s">
        <v>8</v>
      </c>
      <c r="E33" s="10" t="s">
        <v>3</v>
      </c>
      <c r="F33" s="10">
        <v>0.621</v>
      </c>
      <c r="G33" s="10">
        <v>425.2</v>
      </c>
      <c r="H33" s="10">
        <v>684.3</v>
      </c>
      <c r="I33" s="10">
        <v>0.1109</v>
      </c>
    </row>
    <row r="34" spans="1:9" x14ac:dyDescent="0.45">
      <c r="A34" s="10" t="s">
        <v>34</v>
      </c>
      <c r="B34" s="10" t="s">
        <v>13</v>
      </c>
      <c r="C34" s="10" t="s">
        <v>0</v>
      </c>
      <c r="D34" s="10" t="s">
        <v>33</v>
      </c>
      <c r="E34" s="10" t="s">
        <v>1</v>
      </c>
      <c r="F34" s="10" t="s">
        <v>26</v>
      </c>
      <c r="G34" s="10">
        <v>608.4</v>
      </c>
      <c r="H34" s="10">
        <v>626.5</v>
      </c>
      <c r="I34" s="10">
        <v>0.15959999999999999</v>
      </c>
    </row>
    <row r="35" spans="1:9" x14ac:dyDescent="0.45">
      <c r="A35" s="10" t="s">
        <v>34</v>
      </c>
      <c r="B35" s="10" t="s">
        <v>13</v>
      </c>
      <c r="C35" s="10" t="s">
        <v>3</v>
      </c>
      <c r="D35" s="10" t="s">
        <v>6</v>
      </c>
      <c r="E35" s="10" t="s">
        <v>0</v>
      </c>
      <c r="F35" s="10">
        <v>0.72299999999999998</v>
      </c>
      <c r="G35" s="10">
        <v>391.8</v>
      </c>
      <c r="H35" s="10">
        <v>542.1</v>
      </c>
      <c r="I35" s="10">
        <v>0.1013</v>
      </c>
    </row>
    <row r="36" spans="1:9" x14ac:dyDescent="0.45">
      <c r="A36" s="10" t="s">
        <v>34</v>
      </c>
      <c r="B36" s="10" t="s">
        <v>13</v>
      </c>
      <c r="C36" s="10" t="s">
        <v>10</v>
      </c>
      <c r="D36" s="10" t="s">
        <v>7</v>
      </c>
      <c r="E36" s="10" t="s">
        <v>3</v>
      </c>
      <c r="F36" s="10">
        <v>0.56599999999999995</v>
      </c>
      <c r="G36" s="10">
        <v>389.6</v>
      </c>
      <c r="H36" s="10">
        <v>688.9</v>
      </c>
      <c r="I36" s="10">
        <v>0.10009999999999999</v>
      </c>
    </row>
    <row r="37" spans="1:9" x14ac:dyDescent="0.45">
      <c r="A37" s="10" t="s">
        <v>34</v>
      </c>
      <c r="B37" s="10" t="s">
        <v>13</v>
      </c>
      <c r="C37" s="10" t="s">
        <v>4</v>
      </c>
      <c r="D37" s="10" t="s">
        <v>8</v>
      </c>
      <c r="E37" s="10" t="s">
        <v>10</v>
      </c>
      <c r="F37" s="10">
        <v>0.625</v>
      </c>
      <c r="G37" s="10">
        <v>387</v>
      </c>
      <c r="H37" s="10">
        <v>619.4</v>
      </c>
      <c r="I37" s="10">
        <v>9.9099999999999994E-2</v>
      </c>
    </row>
    <row r="38" spans="1:9" x14ac:dyDescent="0.45">
      <c r="A38" s="10" t="s">
        <v>35</v>
      </c>
      <c r="B38" s="10" t="s">
        <v>13</v>
      </c>
      <c r="C38" s="10" t="s">
        <v>3</v>
      </c>
      <c r="D38" s="10" t="s">
        <v>33</v>
      </c>
      <c r="E38" s="10" t="s">
        <v>1</v>
      </c>
      <c r="F38" s="10" t="s">
        <v>26</v>
      </c>
      <c r="G38" s="10">
        <v>531.4</v>
      </c>
      <c r="H38" s="10">
        <v>535.6</v>
      </c>
      <c r="I38" s="10">
        <v>0.14130000000000001</v>
      </c>
    </row>
    <row r="39" spans="1:9" x14ac:dyDescent="0.45">
      <c r="A39" s="10" t="s">
        <v>35</v>
      </c>
      <c r="B39" s="10" t="s">
        <v>13</v>
      </c>
      <c r="C39" s="10" t="s">
        <v>10</v>
      </c>
      <c r="D39" s="10" t="s">
        <v>6</v>
      </c>
      <c r="E39" s="10" t="s">
        <v>3</v>
      </c>
      <c r="F39" s="10">
        <v>0.65400000000000003</v>
      </c>
      <c r="G39" s="10">
        <v>444</v>
      </c>
      <c r="H39" s="10">
        <v>679.3</v>
      </c>
      <c r="I39" s="10">
        <v>0.1169</v>
      </c>
    </row>
    <row r="40" spans="1:9" x14ac:dyDescent="0.45">
      <c r="A40" s="10" t="s">
        <v>35</v>
      </c>
      <c r="B40" s="10" t="s">
        <v>13</v>
      </c>
      <c r="C40" s="10" t="s">
        <v>4</v>
      </c>
      <c r="D40" s="10" t="s">
        <v>7</v>
      </c>
      <c r="E40" s="10" t="s">
        <v>10</v>
      </c>
      <c r="F40" s="10">
        <v>0.64200000000000002</v>
      </c>
      <c r="G40" s="10">
        <v>391.9</v>
      </c>
      <c r="H40" s="10">
        <v>610.5</v>
      </c>
      <c r="I40" s="10">
        <v>0.1024</v>
      </c>
    </row>
    <row r="41" spans="1:9" x14ac:dyDescent="0.45">
      <c r="A41" s="10" t="s">
        <v>35</v>
      </c>
      <c r="B41" s="10" t="s">
        <v>13</v>
      </c>
      <c r="C41" s="10" t="s">
        <v>0</v>
      </c>
      <c r="D41" s="10" t="s">
        <v>8</v>
      </c>
      <c r="E41" s="10" t="s">
        <v>4</v>
      </c>
      <c r="F41" s="10">
        <v>0.65800000000000003</v>
      </c>
      <c r="G41" s="10">
        <v>405.9</v>
      </c>
      <c r="H41" s="10">
        <v>617.20000000000005</v>
      </c>
      <c r="I41" s="10">
        <v>0.10580000000000001</v>
      </c>
    </row>
    <row r="42" spans="1:9" x14ac:dyDescent="0.45">
      <c r="A42" s="10" t="s">
        <v>36</v>
      </c>
      <c r="B42" s="10" t="s">
        <v>13</v>
      </c>
      <c r="C42" s="10" t="s">
        <v>4</v>
      </c>
      <c r="D42" s="10" t="s">
        <v>33</v>
      </c>
      <c r="E42" s="10" t="s">
        <v>1</v>
      </c>
      <c r="F42" s="10" t="s">
        <v>26</v>
      </c>
      <c r="G42" s="10">
        <v>588.9</v>
      </c>
      <c r="H42" s="10">
        <v>599.6</v>
      </c>
      <c r="I42" s="10">
        <v>0.16059999999999999</v>
      </c>
    </row>
    <row r="43" spans="1:9" x14ac:dyDescent="0.45">
      <c r="A43" s="10" t="s">
        <v>36</v>
      </c>
      <c r="B43" s="10" t="s">
        <v>13</v>
      </c>
      <c r="C43" s="10" t="s">
        <v>0</v>
      </c>
      <c r="D43" s="10" t="s">
        <v>6</v>
      </c>
      <c r="E43" s="10" t="s">
        <v>4</v>
      </c>
      <c r="F43" s="10">
        <v>0.71899999999999997</v>
      </c>
      <c r="G43" s="10">
        <v>433.5</v>
      </c>
      <c r="H43" s="10">
        <v>602.70000000000005</v>
      </c>
      <c r="I43" s="10">
        <v>0.1159</v>
      </c>
    </row>
    <row r="44" spans="1:9" x14ac:dyDescent="0.45">
      <c r="A44" s="10" t="s">
        <v>36</v>
      </c>
      <c r="B44" s="10" t="s">
        <v>13</v>
      </c>
      <c r="C44" s="10" t="s">
        <v>3</v>
      </c>
      <c r="D44" s="10" t="s">
        <v>7</v>
      </c>
      <c r="E44" s="10" t="s">
        <v>0</v>
      </c>
      <c r="F44" s="10">
        <v>0.64</v>
      </c>
      <c r="G44" s="10">
        <v>334.2</v>
      </c>
      <c r="H44" s="10">
        <v>521.79999999999995</v>
      </c>
      <c r="I44" s="10">
        <v>8.8900000000000007E-2</v>
      </c>
    </row>
    <row r="45" spans="1:9" x14ac:dyDescent="0.45">
      <c r="A45" s="10" t="s">
        <v>37</v>
      </c>
      <c r="B45" s="10" t="s">
        <v>13</v>
      </c>
      <c r="C45" s="10" t="s">
        <v>0</v>
      </c>
      <c r="D45" s="10" t="s">
        <v>33</v>
      </c>
      <c r="E45" s="10" t="s">
        <v>1</v>
      </c>
      <c r="F45" s="10" t="s">
        <v>26</v>
      </c>
      <c r="G45" s="10">
        <v>578</v>
      </c>
      <c r="H45" s="10">
        <v>593.6</v>
      </c>
      <c r="I45" s="10">
        <v>0.1603</v>
      </c>
    </row>
    <row r="46" spans="1:9" x14ac:dyDescent="0.45">
      <c r="A46" s="10" t="s">
        <v>37</v>
      </c>
      <c r="B46" s="10" t="s">
        <v>13</v>
      </c>
      <c r="C46" s="10" t="s">
        <v>3</v>
      </c>
      <c r="D46" s="10" t="s">
        <v>6</v>
      </c>
      <c r="E46" s="10" t="s">
        <v>0</v>
      </c>
      <c r="F46" s="10">
        <v>0.749</v>
      </c>
      <c r="G46" s="10">
        <v>382</v>
      </c>
      <c r="H46" s="10">
        <v>510.1</v>
      </c>
      <c r="I46" s="10">
        <v>0.1057</v>
      </c>
    </row>
    <row r="47" spans="1:9" x14ac:dyDescent="0.45">
      <c r="A47" s="10" t="s">
        <v>37</v>
      </c>
      <c r="B47" s="10" t="s">
        <v>13</v>
      </c>
      <c r="C47" s="10" t="s">
        <v>4</v>
      </c>
      <c r="D47" s="10" t="s">
        <v>7</v>
      </c>
      <c r="E47" s="10" t="s">
        <v>3</v>
      </c>
      <c r="F47" s="10">
        <v>0.68300000000000005</v>
      </c>
      <c r="G47" s="10">
        <v>399.9</v>
      </c>
      <c r="H47" s="10">
        <v>585.70000000000005</v>
      </c>
      <c r="I47" s="10">
        <v>0.1095</v>
      </c>
    </row>
    <row r="48" spans="1:9" x14ac:dyDescent="0.45">
      <c r="A48" s="10" t="s">
        <v>38</v>
      </c>
      <c r="B48" s="10" t="s">
        <v>13</v>
      </c>
      <c r="C48" s="10" t="s">
        <v>3</v>
      </c>
      <c r="D48" s="10" t="s">
        <v>33</v>
      </c>
      <c r="E48" s="10" t="s">
        <v>1</v>
      </c>
      <c r="F48" s="10" t="s">
        <v>26</v>
      </c>
      <c r="G48" s="10">
        <v>462.2</v>
      </c>
      <c r="H48" s="10">
        <v>487.6</v>
      </c>
      <c r="I48" s="10">
        <v>0.13469999999999999</v>
      </c>
    </row>
    <row r="49" spans="1:9" x14ac:dyDescent="0.45">
      <c r="A49" s="10" t="s">
        <v>38</v>
      </c>
      <c r="B49" s="10" t="s">
        <v>13</v>
      </c>
      <c r="C49" s="10" t="s">
        <v>4</v>
      </c>
      <c r="D49" s="10" t="s">
        <v>6</v>
      </c>
      <c r="E49" s="10" t="s">
        <v>3</v>
      </c>
      <c r="F49" s="10">
        <v>0.71699999999999997</v>
      </c>
      <c r="G49" s="10">
        <v>400.2</v>
      </c>
      <c r="H49" s="10">
        <v>558</v>
      </c>
      <c r="I49" s="10">
        <v>0.1174</v>
      </c>
    </row>
    <row r="50" spans="1:9" x14ac:dyDescent="0.45">
      <c r="A50" s="10" t="s">
        <v>38</v>
      </c>
      <c r="B50" s="10" t="s">
        <v>13</v>
      </c>
      <c r="C50" s="10" t="s">
        <v>0</v>
      </c>
      <c r="D50" s="10" t="s">
        <v>7</v>
      </c>
      <c r="E50" s="10" t="s">
        <v>4</v>
      </c>
      <c r="F50" s="10">
        <v>0.66500000000000004</v>
      </c>
      <c r="G50" s="10">
        <v>375.9</v>
      </c>
      <c r="H50" s="10">
        <v>565.20000000000005</v>
      </c>
      <c r="I50" s="10">
        <v>0.10630000000000001</v>
      </c>
    </row>
    <row r="51" spans="1:9" x14ac:dyDescent="0.45">
      <c r="A51" t="s">
        <v>32</v>
      </c>
      <c r="B51" t="s">
        <v>14</v>
      </c>
      <c r="C51" t="s">
        <v>2</v>
      </c>
      <c r="D51" t="s">
        <v>33</v>
      </c>
      <c r="E51" t="s">
        <v>1</v>
      </c>
      <c r="F51" t="s">
        <v>26</v>
      </c>
      <c r="G51">
        <v>561.1</v>
      </c>
      <c r="H51">
        <v>591.1</v>
      </c>
      <c r="I51">
        <v>0.16589999999999999</v>
      </c>
    </row>
    <row r="52" spans="1:9" x14ac:dyDescent="0.45">
      <c r="A52" t="s">
        <v>32</v>
      </c>
      <c r="B52" t="s">
        <v>14</v>
      </c>
      <c r="C52" t="s">
        <v>0</v>
      </c>
      <c r="D52" t="s">
        <v>6</v>
      </c>
      <c r="E52" t="s">
        <v>2</v>
      </c>
      <c r="F52">
        <v>0.69599999999999995</v>
      </c>
      <c r="G52">
        <v>408.4</v>
      </c>
      <c r="H52">
        <v>586.79999999999995</v>
      </c>
      <c r="I52">
        <v>0.1113</v>
      </c>
    </row>
    <row r="53" spans="1:9" x14ac:dyDescent="0.45">
      <c r="A53" t="s">
        <v>32</v>
      </c>
      <c r="B53" t="s">
        <v>14</v>
      </c>
      <c r="C53" t="s">
        <v>4</v>
      </c>
      <c r="D53" t="s">
        <v>7</v>
      </c>
      <c r="E53" t="s">
        <v>0</v>
      </c>
      <c r="F53">
        <v>0.60899999999999999</v>
      </c>
      <c r="G53">
        <v>359.8</v>
      </c>
      <c r="H53">
        <v>590.9</v>
      </c>
      <c r="I53">
        <v>9.7000000000000003E-2</v>
      </c>
    </row>
    <row r="54" spans="1:9" x14ac:dyDescent="0.45">
      <c r="A54" t="s">
        <v>32</v>
      </c>
      <c r="B54" t="s">
        <v>14</v>
      </c>
      <c r="C54" t="s">
        <v>10</v>
      </c>
      <c r="D54" t="s">
        <v>8</v>
      </c>
      <c r="E54" t="s">
        <v>4</v>
      </c>
      <c r="F54">
        <v>0.56899999999999995</v>
      </c>
      <c r="G54">
        <v>353.2</v>
      </c>
      <c r="H54">
        <v>620.5</v>
      </c>
      <c r="I54">
        <v>9.3600000000000003E-2</v>
      </c>
    </row>
    <row r="55" spans="1:9" x14ac:dyDescent="0.45">
      <c r="A55" t="s">
        <v>34</v>
      </c>
      <c r="B55" t="s">
        <v>14</v>
      </c>
      <c r="C55" t="s">
        <v>0</v>
      </c>
      <c r="D55" t="s">
        <v>33</v>
      </c>
      <c r="E55" t="s">
        <v>1</v>
      </c>
      <c r="F55" t="s">
        <v>26</v>
      </c>
      <c r="G55">
        <v>584.1</v>
      </c>
      <c r="H55">
        <v>597.9</v>
      </c>
      <c r="I55">
        <v>0.16350000000000001</v>
      </c>
    </row>
    <row r="56" spans="1:9" x14ac:dyDescent="0.45">
      <c r="A56" t="s">
        <v>34</v>
      </c>
      <c r="B56" t="s">
        <v>14</v>
      </c>
      <c r="C56" t="s">
        <v>4</v>
      </c>
      <c r="D56" t="s">
        <v>6</v>
      </c>
      <c r="E56" t="s">
        <v>0</v>
      </c>
      <c r="F56">
        <v>0.71299999999999997</v>
      </c>
      <c r="G56">
        <v>431</v>
      </c>
      <c r="H56">
        <v>604.1</v>
      </c>
      <c r="I56">
        <v>0.1152</v>
      </c>
    </row>
    <row r="57" spans="1:9" x14ac:dyDescent="0.45">
      <c r="A57" t="s">
        <v>34</v>
      </c>
      <c r="B57" t="s">
        <v>14</v>
      </c>
      <c r="C57" t="s">
        <v>10</v>
      </c>
      <c r="D57" t="s">
        <v>7</v>
      </c>
      <c r="E57" t="s">
        <v>4</v>
      </c>
      <c r="F57">
        <v>0.60099999999999998</v>
      </c>
      <c r="G57">
        <v>379.7</v>
      </c>
      <c r="H57">
        <v>632</v>
      </c>
      <c r="I57">
        <v>0.10059999999999999</v>
      </c>
    </row>
    <row r="58" spans="1:9" x14ac:dyDescent="0.45">
      <c r="A58" t="s">
        <v>34</v>
      </c>
      <c r="B58" t="s">
        <v>14</v>
      </c>
      <c r="C58" t="s">
        <v>2</v>
      </c>
      <c r="D58" t="s">
        <v>8</v>
      </c>
      <c r="E58" t="s">
        <v>10</v>
      </c>
      <c r="F58">
        <v>0.65</v>
      </c>
      <c r="G58">
        <v>391.6</v>
      </c>
      <c r="H58">
        <v>602.79999999999995</v>
      </c>
      <c r="I58">
        <v>0.10489999999999999</v>
      </c>
    </row>
    <row r="59" spans="1:9" x14ac:dyDescent="0.45">
      <c r="A59" t="s">
        <v>35</v>
      </c>
      <c r="B59" t="s">
        <v>14</v>
      </c>
      <c r="C59" t="s">
        <v>4</v>
      </c>
      <c r="D59" t="s">
        <v>33</v>
      </c>
      <c r="E59" t="s">
        <v>1</v>
      </c>
      <c r="F59" t="s">
        <v>26</v>
      </c>
      <c r="G59">
        <v>594.4</v>
      </c>
      <c r="H59">
        <v>603.70000000000005</v>
      </c>
      <c r="I59">
        <v>0.16550000000000001</v>
      </c>
    </row>
    <row r="60" spans="1:9" x14ac:dyDescent="0.45">
      <c r="A60" t="s">
        <v>35</v>
      </c>
      <c r="B60" t="s">
        <v>14</v>
      </c>
      <c r="C60" t="s">
        <v>10</v>
      </c>
      <c r="D60" t="s">
        <v>6</v>
      </c>
      <c r="E60" t="s">
        <v>4</v>
      </c>
      <c r="F60">
        <v>0.67300000000000004</v>
      </c>
      <c r="G60">
        <v>423.9</v>
      </c>
      <c r="H60">
        <v>630.20000000000005</v>
      </c>
      <c r="I60">
        <v>0.1133</v>
      </c>
    </row>
    <row r="61" spans="1:9" x14ac:dyDescent="0.45">
      <c r="A61" t="s">
        <v>35</v>
      </c>
      <c r="B61" t="s">
        <v>14</v>
      </c>
      <c r="C61" t="s">
        <v>2</v>
      </c>
      <c r="D61" t="s">
        <v>7</v>
      </c>
      <c r="E61" t="s">
        <v>10</v>
      </c>
      <c r="F61">
        <v>0.64500000000000002</v>
      </c>
      <c r="G61">
        <v>387.9</v>
      </c>
      <c r="H61">
        <v>601</v>
      </c>
      <c r="I61">
        <v>0.1036</v>
      </c>
    </row>
    <row r="62" spans="1:9" x14ac:dyDescent="0.45">
      <c r="A62" t="s">
        <v>35</v>
      </c>
      <c r="B62" t="s">
        <v>14</v>
      </c>
      <c r="C62" t="s">
        <v>0</v>
      </c>
      <c r="D62" t="s">
        <v>8</v>
      </c>
      <c r="E62" t="s">
        <v>2</v>
      </c>
      <c r="F62">
        <v>0.68300000000000005</v>
      </c>
      <c r="G62">
        <v>405.6</v>
      </c>
      <c r="H62">
        <v>593.79999999999995</v>
      </c>
      <c r="I62">
        <v>0.109</v>
      </c>
    </row>
    <row r="63" spans="1:9" x14ac:dyDescent="0.45">
      <c r="A63" t="s">
        <v>36</v>
      </c>
      <c r="B63" t="s">
        <v>14</v>
      </c>
      <c r="C63" t="s">
        <v>10</v>
      </c>
      <c r="D63" t="s">
        <v>33</v>
      </c>
      <c r="E63" t="s">
        <v>1</v>
      </c>
      <c r="F63" t="s">
        <v>26</v>
      </c>
      <c r="G63">
        <v>610.29999999999995</v>
      </c>
      <c r="H63">
        <v>634.20000000000005</v>
      </c>
      <c r="I63">
        <v>0.17349999999999999</v>
      </c>
    </row>
    <row r="64" spans="1:9" x14ac:dyDescent="0.45">
      <c r="A64" t="s">
        <v>36</v>
      </c>
      <c r="B64" t="s">
        <v>14</v>
      </c>
      <c r="C64" t="s">
        <v>2</v>
      </c>
      <c r="D64" t="s">
        <v>6</v>
      </c>
      <c r="E64" t="s">
        <v>10</v>
      </c>
      <c r="F64">
        <v>0.75600000000000001</v>
      </c>
      <c r="G64">
        <v>454.7</v>
      </c>
      <c r="H64">
        <v>601.4</v>
      </c>
      <c r="I64">
        <v>0.1235</v>
      </c>
    </row>
    <row r="65" spans="1:9" x14ac:dyDescent="0.45">
      <c r="A65" t="s">
        <v>36</v>
      </c>
      <c r="B65" t="s">
        <v>14</v>
      </c>
      <c r="C65" t="s">
        <v>0</v>
      </c>
      <c r="D65" t="s">
        <v>7</v>
      </c>
      <c r="E65" t="s">
        <v>2</v>
      </c>
      <c r="F65">
        <v>0.68700000000000006</v>
      </c>
      <c r="G65">
        <v>411.8</v>
      </c>
      <c r="H65">
        <v>599.79999999999995</v>
      </c>
      <c r="I65">
        <v>0.1094</v>
      </c>
    </row>
    <row r="66" spans="1:9" x14ac:dyDescent="0.45">
      <c r="A66" t="s">
        <v>36</v>
      </c>
      <c r="B66" t="s">
        <v>14</v>
      </c>
      <c r="C66" t="s">
        <v>4</v>
      </c>
      <c r="D66" t="s">
        <v>8</v>
      </c>
      <c r="E66" t="s">
        <v>0</v>
      </c>
      <c r="F66">
        <v>0.72299999999999998</v>
      </c>
      <c r="G66">
        <v>436.1</v>
      </c>
      <c r="H66">
        <v>603.4</v>
      </c>
      <c r="I66">
        <v>0.1178</v>
      </c>
    </row>
    <row r="67" spans="1:9" x14ac:dyDescent="0.45">
      <c r="A67" t="s">
        <v>37</v>
      </c>
      <c r="B67" t="s">
        <v>14</v>
      </c>
      <c r="C67" t="s">
        <v>2</v>
      </c>
      <c r="D67" t="s">
        <v>33</v>
      </c>
      <c r="E67" t="s">
        <v>1</v>
      </c>
      <c r="F67" t="s">
        <v>26</v>
      </c>
      <c r="G67">
        <v>583.1</v>
      </c>
      <c r="H67">
        <v>600</v>
      </c>
      <c r="I67">
        <v>0.16589999999999999</v>
      </c>
    </row>
    <row r="68" spans="1:9" x14ac:dyDescent="0.45">
      <c r="A68" t="s">
        <v>37</v>
      </c>
      <c r="B68" t="s">
        <v>14</v>
      </c>
      <c r="C68" t="s">
        <v>0</v>
      </c>
      <c r="D68" t="s">
        <v>6</v>
      </c>
      <c r="E68" t="s">
        <v>2</v>
      </c>
      <c r="F68">
        <v>0.69399999999999995</v>
      </c>
      <c r="G68">
        <v>409.7</v>
      </c>
      <c r="H68">
        <v>590.4</v>
      </c>
      <c r="I68">
        <v>0.1106</v>
      </c>
    </row>
    <row r="69" spans="1:9" x14ac:dyDescent="0.45">
      <c r="A69" t="s">
        <v>37</v>
      </c>
      <c r="B69" t="s">
        <v>14</v>
      </c>
      <c r="C69" t="s">
        <v>4</v>
      </c>
      <c r="D69" t="s">
        <v>7</v>
      </c>
      <c r="E69" t="s">
        <v>0</v>
      </c>
      <c r="F69">
        <v>0.6</v>
      </c>
      <c r="G69">
        <v>358.8</v>
      </c>
      <c r="H69">
        <v>598</v>
      </c>
      <c r="I69">
        <v>9.5100000000000004E-2</v>
      </c>
    </row>
    <row r="70" spans="1:9" x14ac:dyDescent="0.45">
      <c r="A70" t="s">
        <v>38</v>
      </c>
      <c r="B70" t="s">
        <v>14</v>
      </c>
      <c r="C70" t="s">
        <v>0</v>
      </c>
      <c r="D70" t="s">
        <v>33</v>
      </c>
      <c r="E70" t="s">
        <v>1</v>
      </c>
      <c r="F70" t="s">
        <v>26</v>
      </c>
      <c r="G70">
        <v>592.6</v>
      </c>
      <c r="H70">
        <v>608.70000000000005</v>
      </c>
      <c r="I70">
        <v>0.16350000000000001</v>
      </c>
    </row>
    <row r="71" spans="1:9" x14ac:dyDescent="0.45">
      <c r="A71" t="s">
        <v>38</v>
      </c>
      <c r="B71" t="s">
        <v>14</v>
      </c>
      <c r="C71" t="s">
        <v>4</v>
      </c>
      <c r="D71" t="s">
        <v>6</v>
      </c>
      <c r="E71" t="s">
        <v>0</v>
      </c>
      <c r="F71">
        <v>0.73699999999999999</v>
      </c>
      <c r="G71">
        <v>452.5</v>
      </c>
      <c r="H71">
        <v>613.6</v>
      </c>
      <c r="I71">
        <v>0.1201</v>
      </c>
    </row>
    <row r="72" spans="1:9" x14ac:dyDescent="0.45">
      <c r="A72" t="s">
        <v>38</v>
      </c>
      <c r="B72" t="s">
        <v>14</v>
      </c>
      <c r="C72" t="s">
        <v>2</v>
      </c>
      <c r="D72" t="s">
        <v>7</v>
      </c>
      <c r="E72" t="s">
        <v>4</v>
      </c>
      <c r="F72">
        <v>0.66500000000000004</v>
      </c>
      <c r="G72">
        <v>408.9</v>
      </c>
      <c r="H72">
        <v>615.1</v>
      </c>
      <c r="I72">
        <v>0.1074</v>
      </c>
    </row>
    <row r="73" spans="1:9" x14ac:dyDescent="0.45">
      <c r="A73" t="s">
        <v>39</v>
      </c>
      <c r="B73" t="s">
        <v>14</v>
      </c>
      <c r="C73" t="s">
        <v>4</v>
      </c>
      <c r="D73" t="s">
        <v>33</v>
      </c>
      <c r="E73" t="s">
        <v>1</v>
      </c>
      <c r="F73" t="s">
        <v>26</v>
      </c>
      <c r="G73">
        <v>653.1</v>
      </c>
      <c r="H73">
        <v>625.6</v>
      </c>
      <c r="I73">
        <v>0.16550000000000001</v>
      </c>
    </row>
    <row r="74" spans="1:9" x14ac:dyDescent="0.45">
      <c r="A74" t="s">
        <v>39</v>
      </c>
      <c r="B74" t="s">
        <v>14</v>
      </c>
      <c r="C74" t="s">
        <v>2</v>
      </c>
      <c r="D74" t="s">
        <v>6</v>
      </c>
      <c r="E74" t="s">
        <v>4</v>
      </c>
      <c r="F74">
        <v>0.80100000000000005</v>
      </c>
      <c r="G74">
        <v>497.2</v>
      </c>
      <c r="H74">
        <v>620.79999999999995</v>
      </c>
      <c r="I74">
        <v>0.13109999999999999</v>
      </c>
    </row>
    <row r="75" spans="1:9" x14ac:dyDescent="0.45">
      <c r="A75" t="s">
        <v>39</v>
      </c>
      <c r="B75" t="s">
        <v>14</v>
      </c>
      <c r="C75" t="s">
        <v>0</v>
      </c>
      <c r="D75" t="s">
        <v>7</v>
      </c>
      <c r="E75" t="s">
        <v>2</v>
      </c>
      <c r="F75">
        <v>0.749</v>
      </c>
      <c r="G75">
        <v>461.7</v>
      </c>
      <c r="H75">
        <v>616.5</v>
      </c>
      <c r="I75">
        <v>0.1207</v>
      </c>
    </row>
    <row r="76" spans="1:9" x14ac:dyDescent="0.45">
      <c r="A76" t="s">
        <v>32</v>
      </c>
      <c r="B76" t="s">
        <v>16</v>
      </c>
      <c r="C76" t="s">
        <v>4</v>
      </c>
      <c r="D76" t="s">
        <v>33</v>
      </c>
      <c r="E76" t="s">
        <v>1</v>
      </c>
      <c r="F76" t="s">
        <v>26</v>
      </c>
      <c r="G76">
        <v>635.29999999999995</v>
      </c>
      <c r="H76">
        <v>644</v>
      </c>
      <c r="I76">
        <v>0.17530000000000001</v>
      </c>
    </row>
    <row r="77" spans="1:9" x14ac:dyDescent="0.45">
      <c r="A77" t="s">
        <v>32</v>
      </c>
      <c r="B77" t="s">
        <v>16</v>
      </c>
      <c r="C77" t="s">
        <v>0</v>
      </c>
      <c r="D77" t="s">
        <v>6</v>
      </c>
      <c r="E77" t="s">
        <v>4</v>
      </c>
      <c r="F77">
        <v>0.71599999999999997</v>
      </c>
      <c r="G77">
        <v>450.1</v>
      </c>
      <c r="H77">
        <v>628.9</v>
      </c>
      <c r="I77">
        <v>0.1187</v>
      </c>
    </row>
    <row r="78" spans="1:9" x14ac:dyDescent="0.45">
      <c r="A78" t="s">
        <v>32</v>
      </c>
      <c r="B78" t="s">
        <v>16</v>
      </c>
      <c r="C78" t="s">
        <v>2</v>
      </c>
      <c r="D78" t="s">
        <v>7</v>
      </c>
      <c r="E78" t="s">
        <v>0</v>
      </c>
      <c r="F78">
        <v>0.61099999999999999</v>
      </c>
      <c r="G78">
        <v>376.9</v>
      </c>
      <c r="H78">
        <v>616.79999999999995</v>
      </c>
      <c r="I78">
        <v>0.1031</v>
      </c>
    </row>
    <row r="79" spans="1:9" x14ac:dyDescent="0.45">
      <c r="A79" t="s">
        <v>32</v>
      </c>
      <c r="B79" t="s">
        <v>16</v>
      </c>
      <c r="C79" t="s">
        <v>15</v>
      </c>
      <c r="D79" t="s">
        <v>8</v>
      </c>
      <c r="E79" t="s">
        <v>2</v>
      </c>
      <c r="F79">
        <v>0.64900000000000002</v>
      </c>
      <c r="G79">
        <v>375</v>
      </c>
      <c r="H79">
        <v>577.79999999999995</v>
      </c>
      <c r="I79">
        <v>0.1012</v>
      </c>
    </row>
    <row r="80" spans="1:9" x14ac:dyDescent="0.45">
      <c r="A80" t="s">
        <v>34</v>
      </c>
      <c r="B80" t="s">
        <v>16</v>
      </c>
      <c r="C80" t="s">
        <v>0</v>
      </c>
      <c r="D80" t="s">
        <v>33</v>
      </c>
      <c r="E80" t="s">
        <v>1</v>
      </c>
      <c r="F80" t="s">
        <v>26</v>
      </c>
      <c r="G80">
        <v>598.9</v>
      </c>
      <c r="H80">
        <v>596.6</v>
      </c>
      <c r="I80">
        <v>0.17130000000000001</v>
      </c>
    </row>
    <row r="81" spans="1:9" x14ac:dyDescent="0.45">
      <c r="A81" t="s">
        <v>34</v>
      </c>
      <c r="B81" t="s">
        <v>16</v>
      </c>
      <c r="C81" t="s">
        <v>2</v>
      </c>
      <c r="D81" t="s">
        <v>6</v>
      </c>
      <c r="E81" t="s">
        <v>0</v>
      </c>
      <c r="F81">
        <v>0.69499999999999995</v>
      </c>
      <c r="G81">
        <v>420.2</v>
      </c>
      <c r="H81">
        <v>605</v>
      </c>
      <c r="I81">
        <v>0.1205</v>
      </c>
    </row>
    <row r="82" spans="1:9" x14ac:dyDescent="0.45">
      <c r="A82" t="s">
        <v>34</v>
      </c>
      <c r="B82" t="s">
        <v>16</v>
      </c>
      <c r="C82" t="s">
        <v>15</v>
      </c>
      <c r="D82" t="s">
        <v>7</v>
      </c>
      <c r="E82" t="s">
        <v>2</v>
      </c>
      <c r="F82">
        <v>0.59699999999999998</v>
      </c>
      <c r="G82">
        <v>343.9</v>
      </c>
      <c r="H82">
        <v>575.9</v>
      </c>
      <c r="I82">
        <v>0.10290000000000001</v>
      </c>
    </row>
    <row r="83" spans="1:9" x14ac:dyDescent="0.45">
      <c r="A83" t="s">
        <v>34</v>
      </c>
      <c r="B83" t="s">
        <v>16</v>
      </c>
      <c r="C83" t="s">
        <v>4</v>
      </c>
      <c r="D83" t="s">
        <v>8</v>
      </c>
      <c r="E83" t="s">
        <v>15</v>
      </c>
      <c r="F83">
        <v>0.64100000000000001</v>
      </c>
      <c r="G83">
        <v>403.5</v>
      </c>
      <c r="H83">
        <v>629.29999999999995</v>
      </c>
      <c r="I83">
        <v>0.1101</v>
      </c>
    </row>
    <row r="84" spans="1:9" x14ac:dyDescent="0.45">
      <c r="A84" t="s">
        <v>35</v>
      </c>
      <c r="B84" t="s">
        <v>16</v>
      </c>
      <c r="C84" t="s">
        <v>2</v>
      </c>
      <c r="D84" t="s">
        <v>33</v>
      </c>
      <c r="E84" t="s">
        <v>1</v>
      </c>
      <c r="F84" t="s">
        <v>26</v>
      </c>
      <c r="G84">
        <v>578.6</v>
      </c>
      <c r="H84">
        <v>597.6</v>
      </c>
      <c r="I84">
        <v>0.17680000000000001</v>
      </c>
    </row>
    <row r="85" spans="1:9" x14ac:dyDescent="0.45">
      <c r="A85" t="s">
        <v>35</v>
      </c>
      <c r="B85" t="s">
        <v>16</v>
      </c>
      <c r="C85" t="s">
        <v>15</v>
      </c>
      <c r="D85" t="s">
        <v>6</v>
      </c>
      <c r="E85" t="s">
        <v>2</v>
      </c>
      <c r="F85">
        <v>0.70299999999999996</v>
      </c>
      <c r="G85">
        <v>389.5</v>
      </c>
      <c r="H85">
        <v>554.1</v>
      </c>
      <c r="I85">
        <v>0.11219999999999999</v>
      </c>
    </row>
    <row r="86" spans="1:9" x14ac:dyDescent="0.45">
      <c r="A86" t="s">
        <v>35</v>
      </c>
      <c r="B86" t="s">
        <v>16</v>
      </c>
      <c r="C86" t="s">
        <v>4</v>
      </c>
      <c r="D86" t="s">
        <v>7</v>
      </c>
      <c r="E86" t="s">
        <v>15</v>
      </c>
      <c r="F86">
        <v>0.61099999999999999</v>
      </c>
      <c r="G86">
        <v>381.7</v>
      </c>
      <c r="H86">
        <v>624.9</v>
      </c>
      <c r="I86">
        <v>0.1031</v>
      </c>
    </row>
    <row r="87" spans="1:9" x14ac:dyDescent="0.45">
      <c r="A87" t="s">
        <v>35</v>
      </c>
      <c r="B87" t="s">
        <v>16</v>
      </c>
      <c r="C87" t="s">
        <v>0</v>
      </c>
      <c r="D87" t="s">
        <v>8</v>
      </c>
      <c r="E87" t="s">
        <v>4</v>
      </c>
      <c r="F87">
        <v>0.64900000000000002</v>
      </c>
      <c r="G87">
        <v>382.4</v>
      </c>
      <c r="H87">
        <v>589.5</v>
      </c>
      <c r="I87">
        <v>0.11119999999999999</v>
      </c>
    </row>
    <row r="88" spans="1:9" x14ac:dyDescent="0.45">
      <c r="A88" t="s">
        <v>36</v>
      </c>
      <c r="B88" t="s">
        <v>16</v>
      </c>
      <c r="C88" t="s">
        <v>15</v>
      </c>
      <c r="D88" t="s">
        <v>33</v>
      </c>
      <c r="E88" t="s">
        <v>1</v>
      </c>
      <c r="F88" t="s">
        <v>26</v>
      </c>
      <c r="G88">
        <v>596.20000000000005</v>
      </c>
      <c r="H88">
        <v>601.29999999999995</v>
      </c>
      <c r="I88">
        <v>0.1605</v>
      </c>
    </row>
    <row r="89" spans="1:9" x14ac:dyDescent="0.45">
      <c r="A89" t="s">
        <v>36</v>
      </c>
      <c r="B89" t="s">
        <v>16</v>
      </c>
      <c r="C89" t="s">
        <v>4</v>
      </c>
      <c r="D89" t="s">
        <v>6</v>
      </c>
      <c r="E89" t="s">
        <v>15</v>
      </c>
      <c r="F89">
        <v>0.73599999999999999</v>
      </c>
      <c r="G89">
        <v>480.3</v>
      </c>
      <c r="H89">
        <v>652.5</v>
      </c>
      <c r="I89">
        <v>0.12670000000000001</v>
      </c>
    </row>
    <row r="90" spans="1:9" x14ac:dyDescent="0.45">
      <c r="A90" t="s">
        <v>36</v>
      </c>
      <c r="B90" t="s">
        <v>16</v>
      </c>
      <c r="C90" t="s">
        <v>0</v>
      </c>
      <c r="D90" t="s">
        <v>7</v>
      </c>
      <c r="E90" t="s">
        <v>4</v>
      </c>
      <c r="F90">
        <v>0.65800000000000003</v>
      </c>
      <c r="G90">
        <v>417.7</v>
      </c>
      <c r="H90">
        <v>635</v>
      </c>
      <c r="I90">
        <v>0.1103</v>
      </c>
    </row>
    <row r="91" spans="1:9" x14ac:dyDescent="0.45">
      <c r="A91" t="s">
        <v>36</v>
      </c>
      <c r="B91" t="s">
        <v>16</v>
      </c>
      <c r="C91" t="s">
        <v>2</v>
      </c>
      <c r="D91" t="s">
        <v>8</v>
      </c>
      <c r="E91" t="s">
        <v>0</v>
      </c>
      <c r="F91">
        <v>0.65800000000000003</v>
      </c>
      <c r="G91">
        <v>418</v>
      </c>
      <c r="H91">
        <v>635.5</v>
      </c>
      <c r="I91">
        <v>0.11260000000000001</v>
      </c>
    </row>
    <row r="92" spans="1:9" x14ac:dyDescent="0.45">
      <c r="A92" t="s">
        <v>37</v>
      </c>
      <c r="B92" t="s">
        <v>16</v>
      </c>
      <c r="C92" t="s">
        <v>4</v>
      </c>
      <c r="D92" t="s">
        <v>33</v>
      </c>
      <c r="E92" t="s">
        <v>1</v>
      </c>
      <c r="F92" t="s">
        <v>26</v>
      </c>
      <c r="G92">
        <v>596.79999999999995</v>
      </c>
      <c r="H92">
        <v>615.79999999999995</v>
      </c>
      <c r="I92">
        <v>0.17530000000000001</v>
      </c>
    </row>
    <row r="93" spans="1:9" x14ac:dyDescent="0.45">
      <c r="A93" t="s">
        <v>37</v>
      </c>
      <c r="B93" t="s">
        <v>16</v>
      </c>
      <c r="C93" t="s">
        <v>0</v>
      </c>
      <c r="D93" t="s">
        <v>6</v>
      </c>
      <c r="E93" t="s">
        <v>4</v>
      </c>
      <c r="F93">
        <v>0.71399999999999997</v>
      </c>
      <c r="G93">
        <v>431.8</v>
      </c>
      <c r="H93">
        <v>604.29999999999995</v>
      </c>
      <c r="I93">
        <v>0.12</v>
      </c>
    </row>
    <row r="94" spans="1:9" x14ac:dyDescent="0.45">
      <c r="A94" t="s">
        <v>37</v>
      </c>
      <c r="B94" t="s">
        <v>16</v>
      </c>
      <c r="C94" t="s">
        <v>2</v>
      </c>
      <c r="D94" t="s">
        <v>7</v>
      </c>
      <c r="E94" t="s">
        <v>0</v>
      </c>
      <c r="F94">
        <v>0.64200000000000002</v>
      </c>
      <c r="G94">
        <v>371.8</v>
      </c>
      <c r="H94">
        <v>579.5</v>
      </c>
      <c r="I94">
        <v>0.13070000000000001</v>
      </c>
    </row>
    <row r="95" spans="1:9" x14ac:dyDescent="0.45">
      <c r="A95" t="s">
        <v>38</v>
      </c>
      <c r="B95" t="s">
        <v>16</v>
      </c>
      <c r="C95" t="s">
        <v>0</v>
      </c>
      <c r="D95" t="s">
        <v>33</v>
      </c>
      <c r="E95" t="s">
        <v>1</v>
      </c>
      <c r="F95" t="s">
        <v>26</v>
      </c>
      <c r="G95">
        <v>571.4</v>
      </c>
      <c r="H95">
        <v>588.4</v>
      </c>
      <c r="I95">
        <v>0.17130000000000001</v>
      </c>
    </row>
    <row r="96" spans="1:9" x14ac:dyDescent="0.45">
      <c r="A96" t="s">
        <v>38</v>
      </c>
      <c r="B96" t="s">
        <v>16</v>
      </c>
      <c r="C96" t="s">
        <v>2</v>
      </c>
      <c r="D96" t="s">
        <v>6</v>
      </c>
      <c r="E96" t="s">
        <v>0</v>
      </c>
      <c r="F96">
        <v>0.69899999999999995</v>
      </c>
      <c r="G96">
        <v>403.8</v>
      </c>
      <c r="H96">
        <v>578.1</v>
      </c>
      <c r="I96">
        <v>0.12180000000000001</v>
      </c>
    </row>
    <row r="97" spans="1:9" x14ac:dyDescent="0.45">
      <c r="A97" t="s">
        <v>38</v>
      </c>
      <c r="B97" t="s">
        <v>16</v>
      </c>
      <c r="C97" t="s">
        <v>4</v>
      </c>
      <c r="D97" t="s">
        <v>7</v>
      </c>
      <c r="E97" t="s">
        <v>2</v>
      </c>
      <c r="F97">
        <v>0.65300000000000002</v>
      </c>
      <c r="G97">
        <v>390.4</v>
      </c>
      <c r="H97">
        <v>598.1</v>
      </c>
      <c r="I97">
        <v>0.1128</v>
      </c>
    </row>
    <row r="98" spans="1:9" x14ac:dyDescent="0.45">
      <c r="A98" t="s">
        <v>39</v>
      </c>
      <c r="B98" t="s">
        <v>16</v>
      </c>
      <c r="C98" t="s">
        <v>2</v>
      </c>
      <c r="D98" t="s">
        <v>33</v>
      </c>
      <c r="E98" t="s">
        <v>1</v>
      </c>
      <c r="F98" t="s">
        <v>26</v>
      </c>
      <c r="G98">
        <v>606.5</v>
      </c>
      <c r="H98">
        <v>607</v>
      </c>
      <c r="I98">
        <v>0.17680000000000001</v>
      </c>
    </row>
    <row r="99" spans="1:9" x14ac:dyDescent="0.45">
      <c r="A99" t="s">
        <v>39</v>
      </c>
      <c r="B99" t="s">
        <v>16</v>
      </c>
      <c r="C99" t="s">
        <v>4</v>
      </c>
      <c r="D99" t="s">
        <v>6</v>
      </c>
      <c r="E99" t="s">
        <v>2</v>
      </c>
      <c r="F99">
        <v>0.72599999999999998</v>
      </c>
      <c r="G99">
        <v>465.5</v>
      </c>
      <c r="H99">
        <v>641.6</v>
      </c>
      <c r="I99">
        <v>0.123</v>
      </c>
    </row>
    <row r="100" spans="1:9" x14ac:dyDescent="0.45">
      <c r="A100" t="s">
        <v>39</v>
      </c>
      <c r="B100" t="s">
        <v>16</v>
      </c>
      <c r="C100" t="s">
        <v>0</v>
      </c>
      <c r="D100" t="s">
        <v>7</v>
      </c>
      <c r="E100" t="s">
        <v>4</v>
      </c>
      <c r="F100">
        <v>0.69499999999999995</v>
      </c>
      <c r="G100">
        <v>440.3</v>
      </c>
      <c r="H100">
        <v>633.29999999999995</v>
      </c>
      <c r="I100">
        <v>0.1147</v>
      </c>
    </row>
    <row r="101" spans="1:9" x14ac:dyDescent="0.45">
      <c r="A101" t="s">
        <v>32</v>
      </c>
      <c r="B101" t="s">
        <v>17</v>
      </c>
      <c r="C101" t="s">
        <v>2</v>
      </c>
      <c r="D101" t="s">
        <v>33</v>
      </c>
      <c r="E101" t="s">
        <v>1</v>
      </c>
      <c r="F101" t="s">
        <v>26</v>
      </c>
      <c r="G101">
        <v>573.1</v>
      </c>
      <c r="H101">
        <v>581.9</v>
      </c>
      <c r="I101">
        <v>0.1608</v>
      </c>
    </row>
    <row r="102" spans="1:9" x14ac:dyDescent="0.45">
      <c r="A102" t="s">
        <v>32</v>
      </c>
      <c r="B102" t="s">
        <v>17</v>
      </c>
      <c r="C102" t="s">
        <v>4</v>
      </c>
      <c r="D102" t="s">
        <v>6</v>
      </c>
      <c r="E102" t="s">
        <v>2</v>
      </c>
      <c r="F102">
        <v>0.70899999999999996</v>
      </c>
      <c r="G102">
        <v>425.1</v>
      </c>
      <c r="H102">
        <v>599.9</v>
      </c>
      <c r="I102">
        <v>0.1177</v>
      </c>
    </row>
    <row r="103" spans="1:9" x14ac:dyDescent="0.45">
      <c r="A103" t="s">
        <v>32</v>
      </c>
      <c r="B103" t="s">
        <v>17</v>
      </c>
      <c r="C103" t="s">
        <v>15</v>
      </c>
      <c r="D103" t="s">
        <v>7</v>
      </c>
      <c r="E103" t="s">
        <v>4</v>
      </c>
      <c r="F103">
        <v>0.65300000000000002</v>
      </c>
      <c r="G103">
        <v>343.3</v>
      </c>
      <c r="H103">
        <v>526.1</v>
      </c>
      <c r="I103">
        <v>0.1003</v>
      </c>
    </row>
    <row r="104" spans="1:9" x14ac:dyDescent="0.45">
      <c r="A104" t="s">
        <v>32</v>
      </c>
      <c r="B104" t="s">
        <v>17</v>
      </c>
      <c r="C104" t="s">
        <v>10</v>
      </c>
      <c r="D104" t="s">
        <v>8</v>
      </c>
      <c r="E104" t="s">
        <v>15</v>
      </c>
      <c r="F104">
        <v>0.57399999999999995</v>
      </c>
      <c r="G104">
        <v>392.1</v>
      </c>
      <c r="H104">
        <v>682.6</v>
      </c>
      <c r="I104">
        <v>0.10970000000000001</v>
      </c>
    </row>
    <row r="105" spans="1:9" x14ac:dyDescent="0.45">
      <c r="A105" t="s">
        <v>34</v>
      </c>
      <c r="B105" t="s">
        <v>17</v>
      </c>
      <c r="C105" t="s">
        <v>4</v>
      </c>
      <c r="D105" t="s">
        <v>33</v>
      </c>
      <c r="E105" t="s">
        <v>1</v>
      </c>
      <c r="F105" t="s">
        <v>26</v>
      </c>
      <c r="G105">
        <v>620.1</v>
      </c>
      <c r="H105">
        <v>619.79999999999995</v>
      </c>
      <c r="I105">
        <v>0.1658</v>
      </c>
    </row>
    <row r="106" spans="1:9" x14ac:dyDescent="0.45">
      <c r="A106" t="s">
        <v>34</v>
      </c>
      <c r="B106" t="s">
        <v>17</v>
      </c>
      <c r="C106" t="s">
        <v>15</v>
      </c>
      <c r="D106" t="s">
        <v>6</v>
      </c>
      <c r="E106" t="s">
        <v>4</v>
      </c>
      <c r="F106">
        <v>0.71</v>
      </c>
      <c r="G106">
        <v>403.8</v>
      </c>
      <c r="H106">
        <v>568.79999999999995</v>
      </c>
      <c r="I106">
        <v>0.1037</v>
      </c>
    </row>
    <row r="107" spans="1:9" x14ac:dyDescent="0.45">
      <c r="A107" t="s">
        <v>34</v>
      </c>
      <c r="B107" t="s">
        <v>17</v>
      </c>
      <c r="C107" t="s">
        <v>10</v>
      </c>
      <c r="D107" t="s">
        <v>7</v>
      </c>
      <c r="E107" t="s">
        <v>15</v>
      </c>
      <c r="F107">
        <v>0.55000000000000004</v>
      </c>
      <c r="G107">
        <v>388.1</v>
      </c>
      <c r="H107">
        <v>705.5</v>
      </c>
      <c r="I107">
        <v>0.1047</v>
      </c>
    </row>
    <row r="108" spans="1:9" x14ac:dyDescent="0.45">
      <c r="A108" t="s">
        <v>34</v>
      </c>
      <c r="B108" t="s">
        <v>17</v>
      </c>
      <c r="C108" t="s">
        <v>2</v>
      </c>
      <c r="D108" t="s">
        <v>8</v>
      </c>
      <c r="E108" t="s">
        <v>10</v>
      </c>
      <c r="F108">
        <v>0.63200000000000001</v>
      </c>
      <c r="G108">
        <v>387.8</v>
      </c>
      <c r="H108">
        <v>613.70000000000005</v>
      </c>
      <c r="I108">
        <v>0.10879999999999999</v>
      </c>
    </row>
    <row r="109" spans="1:9" x14ac:dyDescent="0.45">
      <c r="A109" t="s">
        <v>35</v>
      </c>
      <c r="B109" t="s">
        <v>17</v>
      </c>
      <c r="C109" t="s">
        <v>15</v>
      </c>
      <c r="D109" t="s">
        <v>33</v>
      </c>
      <c r="E109" t="s">
        <v>1</v>
      </c>
      <c r="F109" t="s">
        <v>26</v>
      </c>
      <c r="G109">
        <v>562.1</v>
      </c>
      <c r="H109">
        <v>557</v>
      </c>
      <c r="I109">
        <v>0.15029999999999999</v>
      </c>
    </row>
    <row r="110" spans="1:9" x14ac:dyDescent="0.45">
      <c r="A110" t="s">
        <v>35</v>
      </c>
      <c r="B110" t="s">
        <v>17</v>
      </c>
      <c r="C110" t="s">
        <v>10</v>
      </c>
      <c r="D110" t="s">
        <v>6</v>
      </c>
      <c r="E110" t="s">
        <v>15</v>
      </c>
      <c r="F110">
        <v>0.61</v>
      </c>
      <c r="G110">
        <v>436.5</v>
      </c>
      <c r="H110">
        <v>715.6</v>
      </c>
      <c r="I110">
        <v>0.11849999999999999</v>
      </c>
    </row>
    <row r="111" spans="1:9" x14ac:dyDescent="0.45">
      <c r="A111" t="s">
        <v>35</v>
      </c>
      <c r="B111" t="s">
        <v>17</v>
      </c>
      <c r="C111" t="s">
        <v>2</v>
      </c>
      <c r="D111" t="s">
        <v>7</v>
      </c>
      <c r="E111" t="s">
        <v>10</v>
      </c>
      <c r="F111">
        <v>0.65100000000000002</v>
      </c>
      <c r="G111">
        <v>386.7</v>
      </c>
      <c r="H111">
        <v>594.29999999999995</v>
      </c>
      <c r="I111">
        <v>0.1026</v>
      </c>
    </row>
    <row r="112" spans="1:9" x14ac:dyDescent="0.45">
      <c r="A112" t="s">
        <v>35</v>
      </c>
      <c r="B112" t="s">
        <v>17</v>
      </c>
      <c r="C112" t="s">
        <v>4</v>
      </c>
      <c r="D112" t="s">
        <v>8</v>
      </c>
      <c r="E112" t="s">
        <v>2</v>
      </c>
      <c r="F112">
        <v>0.69199999999999995</v>
      </c>
      <c r="G112">
        <v>434.3</v>
      </c>
      <c r="H112">
        <v>627.79999999999995</v>
      </c>
      <c r="I112">
        <v>0.1182</v>
      </c>
    </row>
    <row r="113" spans="1:9" x14ac:dyDescent="0.45">
      <c r="A113" t="s">
        <v>36</v>
      </c>
      <c r="B113" t="s">
        <v>17</v>
      </c>
      <c r="C113" t="s">
        <v>2</v>
      </c>
      <c r="D113" t="s">
        <v>33</v>
      </c>
      <c r="E113" t="s">
        <v>1</v>
      </c>
      <c r="F113" t="s">
        <v>26</v>
      </c>
      <c r="G113">
        <v>509.6</v>
      </c>
      <c r="H113">
        <v>463.7</v>
      </c>
      <c r="I113">
        <v>0.1608</v>
      </c>
    </row>
    <row r="114" spans="1:9" x14ac:dyDescent="0.45">
      <c r="A114" t="s">
        <v>36</v>
      </c>
      <c r="B114" t="s">
        <v>17</v>
      </c>
      <c r="C114" t="s">
        <v>4</v>
      </c>
      <c r="D114" t="s">
        <v>6</v>
      </c>
      <c r="E114" t="s">
        <v>2</v>
      </c>
      <c r="F114">
        <v>0.79900000000000004</v>
      </c>
      <c r="G114">
        <v>367</v>
      </c>
      <c r="H114">
        <v>459.1</v>
      </c>
      <c r="I114">
        <v>0.13780000000000001</v>
      </c>
    </row>
    <row r="115" spans="1:9" x14ac:dyDescent="0.45">
      <c r="A115" t="s">
        <v>36</v>
      </c>
      <c r="B115" t="s">
        <v>17</v>
      </c>
      <c r="C115" t="s">
        <v>15</v>
      </c>
      <c r="D115" t="s">
        <v>7</v>
      </c>
      <c r="E115" t="s">
        <v>4</v>
      </c>
      <c r="F115">
        <v>0.78600000000000003</v>
      </c>
      <c r="G115">
        <v>316.2</v>
      </c>
      <c r="H115">
        <v>402</v>
      </c>
      <c r="I115">
        <v>0.1235</v>
      </c>
    </row>
    <row r="116" spans="1:9" x14ac:dyDescent="0.45">
      <c r="A116" t="s">
        <v>37</v>
      </c>
      <c r="B116" t="s">
        <v>17</v>
      </c>
      <c r="C116" t="s">
        <v>4</v>
      </c>
      <c r="D116" t="s">
        <v>33</v>
      </c>
      <c r="E116" t="s">
        <v>1</v>
      </c>
      <c r="F116" t="s">
        <v>26</v>
      </c>
      <c r="G116">
        <v>617</v>
      </c>
      <c r="H116">
        <v>610.9</v>
      </c>
      <c r="I116">
        <v>0.1658</v>
      </c>
    </row>
    <row r="117" spans="1:9" x14ac:dyDescent="0.45">
      <c r="A117" t="s">
        <v>37</v>
      </c>
      <c r="B117" t="s">
        <v>17</v>
      </c>
      <c r="C117" t="s">
        <v>15</v>
      </c>
      <c r="D117" t="s">
        <v>6</v>
      </c>
      <c r="E117" t="s">
        <v>4</v>
      </c>
      <c r="F117">
        <v>0.78300000000000003</v>
      </c>
      <c r="G117">
        <v>420.1</v>
      </c>
      <c r="H117">
        <v>536.4</v>
      </c>
      <c r="I117">
        <v>0.1163</v>
      </c>
    </row>
    <row r="118" spans="1:9" x14ac:dyDescent="0.45">
      <c r="A118" t="s">
        <v>37</v>
      </c>
      <c r="B118" t="s">
        <v>17</v>
      </c>
      <c r="C118" t="s">
        <v>2</v>
      </c>
      <c r="D118" t="s">
        <v>7</v>
      </c>
      <c r="E118" t="s">
        <v>15</v>
      </c>
      <c r="F118">
        <v>0.76400000000000001</v>
      </c>
      <c r="G118">
        <v>429.7</v>
      </c>
      <c r="H118">
        <v>562.70000000000005</v>
      </c>
      <c r="I118">
        <v>0.12959999999999999</v>
      </c>
    </row>
    <row r="119" spans="1:9" x14ac:dyDescent="0.45">
      <c r="A119" t="s">
        <v>38</v>
      </c>
      <c r="B119" t="s">
        <v>17</v>
      </c>
      <c r="C119" t="s">
        <v>15</v>
      </c>
      <c r="D119" t="s">
        <v>33</v>
      </c>
      <c r="E119" t="s">
        <v>1</v>
      </c>
      <c r="F119" t="s">
        <v>26</v>
      </c>
      <c r="G119">
        <v>478.7</v>
      </c>
      <c r="H119">
        <v>514.20000000000005</v>
      </c>
      <c r="I119">
        <v>0.15029999999999999</v>
      </c>
    </row>
    <row r="120" spans="1:9" x14ac:dyDescent="0.45">
      <c r="A120" t="s">
        <v>38</v>
      </c>
      <c r="B120" t="s">
        <v>17</v>
      </c>
      <c r="C120" t="s">
        <v>2</v>
      </c>
      <c r="D120" t="s">
        <v>6</v>
      </c>
      <c r="E120" t="s">
        <v>15</v>
      </c>
      <c r="F120">
        <v>0.7</v>
      </c>
      <c r="G120">
        <v>380.3</v>
      </c>
      <c r="H120">
        <v>543.20000000000005</v>
      </c>
      <c r="I120">
        <v>0.1193</v>
      </c>
    </row>
    <row r="121" spans="1:9" x14ac:dyDescent="0.45">
      <c r="A121" t="s">
        <v>38</v>
      </c>
      <c r="B121" t="s">
        <v>17</v>
      </c>
      <c r="C121" t="s">
        <v>4</v>
      </c>
      <c r="D121" t="s">
        <v>7</v>
      </c>
      <c r="E121" t="s">
        <v>2</v>
      </c>
      <c r="F121">
        <v>0.67300000000000004</v>
      </c>
      <c r="G121">
        <v>391.4</v>
      </c>
      <c r="H121">
        <v>581.70000000000005</v>
      </c>
      <c r="I121">
        <v>0.109</v>
      </c>
    </row>
  </sheetData>
  <autoFilter ref="A1:I75" xr:uid="{0FCF1117-BBB5-4536-B919-238FA104113D}"/>
  <phoneticPr fontId="3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5ca952-e4a5-43e6-b17c-c01d313ad135}" enabled="0" method="" siteId="{9d5ca952-e4a5-43e6-b17c-c01d313ad13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Draft by rider</vt:lpstr>
      <vt:lpstr>Draft by position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2026-06-11T03:58:59Z</dcterms:created>
  <dcterms:modified xsi:type="dcterms:W3CDTF">2026-06-22T22:13:40Z</dcterms:modified>
</cp:coreProperties>
</file>